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2" activeTab="2" autoFilterDateGrouping="1"/>
  </bookViews>
  <sheets>
    <sheet xmlns:r="http://schemas.openxmlformats.org/officeDocument/2006/relationships" name="邮件" sheetId="1" state="hidden" r:id="rId1"/>
    <sheet xmlns:r="http://schemas.openxmlformats.org/officeDocument/2006/relationships" name="Sheet1" sheetId="2" state="hidden" r:id="rId2"/>
    <sheet xmlns:r="http://schemas.openxmlformats.org/officeDocument/2006/relationships" name="定稿" sheetId="3" state="visible" r:id="rId3"/>
  </sheets>
  <definedNames>
    <definedName name="_xlnm.Print_Area" localSheetId="0">'邮件'!$A$1:$AA$16</definedName>
    <definedName name="_xlnm.Print_Area" localSheetId="2">'定稿'!$A$1:$AH$14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0_ "/>
    <numFmt numFmtId="165" formatCode="0.0%"/>
    <numFmt numFmtId="166" formatCode="0.0_ "/>
  </numFmts>
  <fonts count="33">
    <font>
      <name val="宋体"/>
      <charset val="134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FFFFFF"/>
      <sz val="22"/>
    </font>
    <font>
      <name val="黑体"/>
      <family val="0"/>
      <b val="1"/>
      <color rgb="FFFFFFFF"/>
      <sz val="22"/>
    </font>
    <font>
      <name val="DejaVu Sans"/>
      <family val="2"/>
      <sz val="12"/>
    </font>
    <font>
      <name val="DejaVu Sans"/>
      <family val="2"/>
      <sz val="14"/>
    </font>
    <font>
      <name val="DejaVu Sans"/>
      <family val="2"/>
      <b val="1"/>
      <color rgb="FF000000"/>
      <sz val="14"/>
    </font>
    <font>
      <name val="微软雅黑"/>
      <charset val="134"/>
      <family val="0"/>
      <b val="1"/>
      <color rgb="FF000000"/>
      <sz val="14"/>
    </font>
    <font>
      <name val="DejaVu Sans"/>
      <family val="2"/>
      <b val="1"/>
      <sz val="13"/>
    </font>
    <font>
      <name val="微软雅黑"/>
      <charset val="134"/>
      <family val="0"/>
      <b val="1"/>
      <sz val="13"/>
    </font>
    <font>
      <name val="DejaVu Sans"/>
      <family val="2"/>
      <color rgb="FF000000"/>
      <sz val="14"/>
    </font>
    <font>
      <name val="仿宋_GB2312"/>
      <charset val="134"/>
      <family val="0"/>
      <sz val="14"/>
    </font>
    <font>
      <name val="国标黑体"/>
      <family val="0"/>
      <sz val="12"/>
    </font>
    <font>
      <name val="微软雅黑"/>
      <charset val="134"/>
      <family val="0"/>
      <b val="1"/>
      <sz val="16"/>
    </font>
    <font>
      <name val="Arial"/>
      <family val="0"/>
      <color rgb="FFFF0000"/>
      <sz val="10"/>
    </font>
    <font>
      <name val="DejaVu Sans"/>
      <family val="2"/>
      <color rgb="FFFF0000"/>
      <sz val="10"/>
    </font>
    <font>
      <name val="DejaVu Sans"/>
      <family val="2"/>
      <color rgb="FFFF0000"/>
      <sz val="12"/>
    </font>
    <font>
      <name val="微软雅黑"/>
      <charset val="134"/>
      <family val="0"/>
      <color rgb="FFFF0000"/>
      <sz val="10"/>
    </font>
    <font>
      <name val="宋体"/>
      <charset val="134"/>
      <family val="0"/>
      <color rgb="FFFF0000"/>
      <sz val="12"/>
    </font>
    <font>
      <name val="DejaVu Sans"/>
      <family val="2"/>
      <color rgb="FF000000"/>
      <sz val="10"/>
    </font>
    <font>
      <name val="微软雅黑"/>
      <charset val="134"/>
      <family val="0"/>
      <color rgb="FF000000"/>
      <sz val="10"/>
    </font>
    <font>
      <name val="微软雅黑"/>
      <charset val="134"/>
      <family val="0"/>
      <sz val="10"/>
    </font>
    <font>
      <name val="宋体"/>
      <charset val="134"/>
      <family val="0"/>
      <color rgb="FF000000"/>
      <sz val="11"/>
    </font>
    <font>
      <name val="DejaVu Sans"/>
      <family val="2"/>
      <color rgb="FF000000"/>
      <sz val="11"/>
    </font>
    <font>
      <name val="DejaVu Sans"/>
      <family val="2"/>
      <sz val="10"/>
    </font>
    <font>
      <name val="仿宋_GB2312"/>
      <charset val="134"/>
      <family val="0"/>
      <color rgb="FF000000"/>
      <sz val="14"/>
    </font>
    <font>
      <name val="DejaVu Sans"/>
      <family val="2"/>
      <color rgb="FFFF0000"/>
      <sz val="14"/>
    </font>
    <font>
      <name val="DejaVu Sans"/>
      <family val="2"/>
      <b val="1"/>
      <color rgb="FF000000"/>
      <sz val="13"/>
    </font>
    <font>
      <name val="仿宋_GB2312"/>
      <charset val="134"/>
      <family val="0"/>
      <b val="1"/>
      <sz val="12"/>
    </font>
    <font>
      <name val="仿宋_GB2312"/>
      <charset val="134"/>
      <family val="0"/>
      <b val="1"/>
      <color rgb="FF000000"/>
      <sz val="13"/>
    </font>
    <font>
      <name val="仿宋_GB2312"/>
      <charset val="134"/>
      <family val="0"/>
      <color rgb="FFFF0000"/>
      <sz val="14"/>
    </font>
  </fonts>
  <fills count="10">
    <fill>
      <patternFill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FFCC99"/>
        <bgColor rgb="FFC0C0C0"/>
      </patternFill>
    </fill>
    <fill>
      <patternFill patternType="solid">
        <fgColor rgb="FFCCCCFF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99CC00"/>
        <bgColor rgb="FFFFCC00"/>
      </patternFill>
    </fill>
    <fill>
      <patternFill patternType="solid">
        <fgColor rgb="FFFFFF00"/>
        <bgColor rgb="FFFFFF00"/>
      </patternFill>
    </fill>
  </fills>
  <borders count="2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thin"/>
      <top style="thin"/>
      <bottom style="thin"/>
      <diagonal/>
    </border>
    <border>
      <left style="thin">
        <color rgb="FFC0C0C0"/>
      </left>
      <right/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>
        <color rgb="FF99CCFF"/>
      </bottom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/>
      <diagonal/>
    </border>
  </borders>
  <cellStyleXfs count="7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center"/>
    </xf>
    <xf numFmtId="0" fontId="0" fillId="0" borderId="0" applyAlignment="1">
      <alignment horizontal="general" vertical="bottom"/>
    </xf>
  </cellStyleXfs>
  <cellXfs count="265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11" fillId="5" borderId="4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20">
      <alignment horizontal="center" vertical="center" wrapText="1"/>
    </xf>
    <xf numFmtId="0" fontId="13" fillId="3" borderId="1" applyAlignment="1" pivotButton="0" quotePrefix="0" xfId="0">
      <alignment horizontal="center" vertical="center"/>
    </xf>
    <xf numFmtId="165" fontId="13" fillId="3" borderId="1" applyAlignment="1" pivotButton="0" quotePrefix="0" xfId="19">
      <alignment horizontal="center" vertical="center"/>
    </xf>
    <xf numFmtId="164" fontId="13" fillId="3" borderId="1" applyAlignment="1" pivotButton="0" quotePrefix="0" xfId="0">
      <alignment horizontal="center" vertical="center"/>
    </xf>
    <xf numFmtId="164" fontId="13" fillId="3" borderId="1" applyAlignment="1" pivotButton="0" quotePrefix="0" xfId="19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13" fillId="0" borderId="1" applyAlignment="1" pivotButton="0" quotePrefix="0" xfId="19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19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164" fontId="13" fillId="0" borderId="1" applyAlignment="1" pivotButton="0" quotePrefix="0" xfId="19">
      <alignment horizontal="center" vertical="center" wrapText="1"/>
    </xf>
    <xf numFmtId="0" fontId="6" fillId="0" borderId="2" applyAlignment="1" pivotButton="0" quotePrefix="0" xfId="0">
      <alignment horizontal="general" vertical="center"/>
    </xf>
    <xf numFmtId="0" fontId="14" fillId="0" borderId="3" applyAlignment="1" pivotButton="0" quotePrefix="0" xfId="0">
      <alignment horizontal="general" vertical="center"/>
    </xf>
    <xf numFmtId="0" fontId="14" fillId="0" borderId="5" applyAlignment="1" pivotButton="0" quotePrefix="0" xfId="0">
      <alignment horizontal="general" vertical="center"/>
    </xf>
    <xf numFmtId="0" fontId="1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6" fillId="0" borderId="6" applyAlignment="1" pivotButton="0" quotePrefix="0" xfId="0">
      <alignment horizontal="general" vertical="bottom"/>
    </xf>
    <xf numFmtId="0" fontId="17" fillId="0" borderId="6" applyAlignment="1" pivotButton="0" quotePrefix="0" xfId="0">
      <alignment horizontal="general" vertical="bottom"/>
    </xf>
    <xf numFmtId="0" fontId="16" fillId="0" borderId="7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bottom"/>
    </xf>
    <xf numFmtId="0" fontId="19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general" vertical="center"/>
    </xf>
    <xf numFmtId="0" fontId="17" fillId="0" borderId="8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21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4" fillId="0" borderId="0" applyAlignment="1" pivotButton="0" quotePrefix="0" xfId="0">
      <alignment horizontal="general" vertical="center"/>
    </xf>
    <xf numFmtId="0" fontId="16" fillId="0" borderId="7" applyAlignment="1" pivotButton="0" quotePrefix="0" xfId="0">
      <alignment horizontal="center" vertical="bottom"/>
    </xf>
    <xf numFmtId="0" fontId="19" fillId="0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0" fillId="0" borderId="8" applyAlignment="1" pivotButton="0" quotePrefix="0" xfId="0">
      <alignment horizontal="general" vertical="center"/>
    </xf>
    <xf numFmtId="0" fontId="16" fillId="0" borderId="9" applyAlignment="1" pivotButton="0" quotePrefix="0" xfId="0">
      <alignment horizontal="general" vertical="bottom"/>
    </xf>
    <xf numFmtId="0" fontId="2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2" fillId="0" borderId="0" applyAlignment="1" pivotButton="0" quotePrefix="0" xfId="0">
      <alignment horizontal="right" vertical="center" wrapText="1"/>
    </xf>
    <xf numFmtId="0" fontId="22" fillId="0" borderId="0" applyAlignment="1" pivotButton="0" quotePrefix="0" xfId="0">
      <alignment horizontal="right" vertical="center"/>
    </xf>
    <xf numFmtId="0" fontId="6" fillId="0" borderId="10" applyAlignment="1" pivotButton="0" quotePrefix="0" xfId="0">
      <alignment horizontal="general" vertical="center"/>
    </xf>
    <xf numFmtId="0" fontId="16" fillId="0" borderId="11" applyAlignment="1" pivotButton="0" quotePrefix="0" xfId="0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4" fillId="0" borderId="0" applyAlignment="1" pivotButton="0" quotePrefix="0" xfId="0">
      <alignment horizontal="general" vertical="center"/>
    </xf>
    <xf numFmtId="0" fontId="16" fillId="0" borderId="1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0" fontId="22" fillId="0" borderId="0" applyAlignment="1" pivotButton="0" quotePrefix="0" xfId="0">
      <alignment horizontal="right" vertical="center"/>
    </xf>
    <xf numFmtId="0" fontId="0" fillId="0" borderId="12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center" vertical="bottom"/>
    </xf>
    <xf numFmtId="0" fontId="16" fillId="0" borderId="13" applyAlignment="1" pivotButton="0" quotePrefix="0" xfId="0">
      <alignment horizontal="center" vertical="bottom"/>
    </xf>
    <xf numFmtId="0" fontId="1" fillId="0" borderId="0" applyAlignment="1" pivotButton="0" quotePrefix="0" xfId="0">
      <alignment horizontal="general" vertical="bottom"/>
    </xf>
    <xf numFmtId="0" fontId="6" fillId="0" borderId="14" applyAlignment="1" pivotButton="0" quotePrefix="0" xfId="0">
      <alignment horizontal="general" vertical="center"/>
    </xf>
    <xf numFmtId="0" fontId="19" fillId="0" borderId="2" applyAlignment="1" pivotButton="0" quotePrefix="0" xfId="0">
      <alignment horizontal="center" vertical="center"/>
    </xf>
    <xf numFmtId="0" fontId="0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26" fillId="0" borderId="14" applyAlignment="1" pivotButton="0" quotePrefix="0" xfId="0">
      <alignment horizontal="general" vertical="bottom"/>
    </xf>
    <xf numFmtId="0" fontId="1" fillId="0" borderId="8" applyAlignment="1" pivotButton="0" quotePrefix="0" xfId="0">
      <alignment horizontal="general" vertical="bottom"/>
    </xf>
    <xf numFmtId="0" fontId="12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/>
    </xf>
    <xf numFmtId="165" fontId="13" fillId="0" borderId="1" applyAlignment="1" pivotButton="0" quotePrefix="0" xfId="19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165" fontId="0" fillId="0" borderId="0" applyAlignment="1" pivotButton="0" quotePrefix="0" xfId="19">
      <alignment horizontal="center" vertical="center"/>
    </xf>
    <xf numFmtId="166" fontId="13" fillId="0" borderId="1" applyAlignment="1" pivotButton="0" quotePrefix="0" xfId="19">
      <alignment horizontal="center" vertical="center"/>
    </xf>
    <xf numFmtId="165" fontId="0" fillId="0" borderId="0" applyAlignment="1" pivotButton="0" quotePrefix="0" xfId="19">
      <alignment horizontal="center" vertical="center" wrapText="1"/>
    </xf>
    <xf numFmtId="0" fontId="6" fillId="0" borderId="0" applyAlignment="1" pivotButton="0" quotePrefix="0" xfId="0">
      <alignment horizontal="general" vertical="center"/>
    </xf>
    <xf numFmtId="0" fontId="18" fillId="0" borderId="0" applyAlignment="1" pivotButton="0" quotePrefix="0" xfId="0">
      <alignment horizontal="general" vertical="center"/>
    </xf>
    <xf numFmtId="0" fontId="0" fillId="0" borderId="9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164" fontId="1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29" fillId="0" borderId="1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30" fillId="3" borderId="1" applyAlignment="1" pivotButton="0" quotePrefix="0" xfId="0">
      <alignment horizontal="general" vertical="center" wrapText="1"/>
    </xf>
    <xf numFmtId="0" fontId="10" fillId="0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164" fontId="13" fillId="2" borderId="1" applyAlignment="1" pivotButton="0" quotePrefix="0" xfId="19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3" fillId="3" borderId="1" applyAlignment="1" pivotButton="0" quotePrefix="0" xfId="19">
      <alignment horizontal="center" vertical="center" wrapText="1"/>
    </xf>
    <xf numFmtId="10" fontId="13" fillId="0" borderId="1" applyAlignment="1" pivotButton="0" quotePrefix="0" xfId="0">
      <alignment horizontal="center" vertical="center"/>
    </xf>
    <xf numFmtId="0" fontId="13" fillId="8" borderId="1" applyAlignment="1" pivotButton="0" quotePrefix="0" xfId="19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164" fontId="13" fillId="8" borderId="1" applyAlignment="1" pivotButton="0" quotePrefix="0" xfId="19">
      <alignment horizontal="center" vertical="center"/>
    </xf>
    <xf numFmtId="164" fontId="13" fillId="3" borderId="1" applyAlignment="1" pivotButton="0" quotePrefix="0" xfId="19">
      <alignment horizontal="center" vertical="center" wrapText="1"/>
    </xf>
    <xf numFmtId="0" fontId="6" fillId="0" borderId="4" applyAlignment="1" pivotButton="0" quotePrefix="0" xfId="0">
      <alignment horizontal="general" vertical="center"/>
    </xf>
    <xf numFmtId="0" fontId="14" fillId="0" borderId="18" applyAlignment="1" pivotButton="0" quotePrefix="0" xfId="0">
      <alignment horizontal="general" vertical="center"/>
    </xf>
    <xf numFmtId="0" fontId="14" fillId="0" borderId="19" applyAlignment="1" pivotButton="0" quotePrefix="0" xfId="0">
      <alignment horizontal="general" vertical="center"/>
    </xf>
    <xf numFmtId="0" fontId="6" fillId="9" borderId="0" applyAlignment="1" pivotButton="0" quotePrefix="0" xfId="0">
      <alignment horizontal="center" vertical="center"/>
    </xf>
    <xf numFmtId="0" fontId="18" fillId="9" borderId="0" applyAlignment="1" pivotButton="0" quotePrefix="0" xfId="0">
      <alignment horizontal="center" vertical="center"/>
    </xf>
    <xf numFmtId="0" fontId="18" fillId="9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general" vertical="center" wrapText="1"/>
    </xf>
    <xf numFmtId="0" fontId="21" fillId="9" borderId="0" applyAlignment="1" pivotButton="0" quotePrefix="0" xfId="0">
      <alignment horizontal="center" vertical="center" wrapText="1"/>
    </xf>
    <xf numFmtId="0" fontId="6" fillId="9" borderId="6" applyAlignment="1" pivotButton="0" quotePrefix="0" xfId="0">
      <alignment horizontal="general" vertical="center"/>
    </xf>
    <xf numFmtId="0" fontId="24" fillId="9" borderId="0" applyAlignment="1" pivotButton="0" quotePrefix="0" xfId="0">
      <alignment horizontal="general" vertical="center"/>
    </xf>
    <xf numFmtId="0" fontId="22" fillId="9" borderId="0" applyAlignment="1" pivotButton="0" quotePrefix="0" xfId="0">
      <alignment horizontal="right" vertical="center" wrapText="1"/>
    </xf>
    <xf numFmtId="0" fontId="6" fillId="9" borderId="10" applyAlignment="1" pivotButton="0" quotePrefix="0" xfId="0">
      <alignment horizontal="general" vertical="center"/>
    </xf>
    <xf numFmtId="0" fontId="25" fillId="9" borderId="0" applyAlignment="1" pivotButton="0" quotePrefix="0" xfId="0">
      <alignment horizontal="general" vertical="center"/>
    </xf>
    <xf numFmtId="0" fontId="0" fillId="9" borderId="0" applyAlignment="1" pivotButton="0" quotePrefix="0" xfId="0">
      <alignment horizontal="general" vertical="center" wrapText="1"/>
    </xf>
    <xf numFmtId="0" fontId="26" fillId="9" borderId="0" applyAlignment="1" pivotButton="0" quotePrefix="0" xfId="0">
      <alignment horizontal="center" vertical="bottom"/>
    </xf>
    <xf numFmtId="0" fontId="0" fillId="9" borderId="0" applyAlignment="1" pivotButton="0" quotePrefix="0" xfId="0">
      <alignment horizontal="general" vertical="center"/>
    </xf>
    <xf numFmtId="0" fontId="0" fillId="9" borderId="12" applyAlignment="1" pivotButton="0" quotePrefix="0" xfId="0">
      <alignment horizontal="general" vertical="center"/>
    </xf>
    <xf numFmtId="0" fontId="24" fillId="0" borderId="20" applyAlignment="1" pivotButton="0" quotePrefix="0" xfId="0">
      <alignment horizontal="general" vertical="center"/>
    </xf>
    <xf numFmtId="0" fontId="6" fillId="9" borderId="14" applyAlignment="1" pivotButton="0" quotePrefix="0" xfId="0">
      <alignment horizontal="general" vertical="center"/>
    </xf>
    <xf numFmtId="0" fontId="32" fillId="0" borderId="17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19">
      <alignment horizontal="center" vertical="center"/>
    </xf>
    <xf numFmtId="166" fontId="13" fillId="0" borderId="0" applyAlignment="1" pivotButton="0" quotePrefix="0" xfId="19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 wrapText="1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0" fillId="0" borderId="22" pivotButton="0" quotePrefix="0" xfId="0"/>
    <xf numFmtId="0" fontId="8" fillId="3" borderId="2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11" fillId="5" borderId="4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3" pivotButton="0" quotePrefix="0" xfId="0"/>
    <xf numFmtId="0" fontId="12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20">
      <alignment horizontal="center" vertical="center" wrapText="1"/>
    </xf>
    <xf numFmtId="0" fontId="13" fillId="3" borderId="1" applyAlignment="1" pivotButton="0" quotePrefix="0" xfId="0">
      <alignment horizontal="center" vertical="center"/>
    </xf>
    <xf numFmtId="165" fontId="13" fillId="3" borderId="1" applyAlignment="1" pivotButton="0" quotePrefix="0" xfId="19">
      <alignment horizontal="center" vertical="center"/>
    </xf>
    <xf numFmtId="164" fontId="13" fillId="3" borderId="1" applyAlignment="1" pivotButton="0" quotePrefix="0" xfId="0">
      <alignment horizontal="center" vertical="center"/>
    </xf>
    <xf numFmtId="164" fontId="13" fillId="3" borderId="1" applyAlignment="1" pivotButton="0" quotePrefix="0" xfId="19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13" fillId="0" borderId="1" applyAlignment="1" pivotButton="0" quotePrefix="0" xfId="19">
      <alignment horizontal="center" vertical="center"/>
    </xf>
    <xf numFmtId="0" fontId="13" fillId="0" borderId="1" applyAlignment="1" pivotButton="0" quotePrefix="0" xfId="19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164" fontId="13" fillId="0" borderId="1" applyAlignment="1" pivotButton="0" quotePrefix="0" xfId="19">
      <alignment horizontal="center" vertical="center" wrapText="1"/>
    </xf>
    <xf numFmtId="0" fontId="6" fillId="0" borderId="2" applyAlignment="1" pivotButton="0" quotePrefix="0" xfId="0">
      <alignment horizontal="general" vertical="center"/>
    </xf>
    <xf numFmtId="0" fontId="14" fillId="0" borderId="3" applyAlignment="1" pivotButton="0" quotePrefix="0" xfId="0">
      <alignment horizontal="general" vertical="center"/>
    </xf>
    <xf numFmtId="0" fontId="14" fillId="0" borderId="5" applyAlignment="1" pivotButton="0" quotePrefix="0" xfId="0">
      <alignment horizontal="general" vertical="center"/>
    </xf>
    <xf numFmtId="0" fontId="1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6" fillId="0" borderId="6" applyAlignment="1" pivotButton="0" quotePrefix="0" xfId="0">
      <alignment horizontal="general" vertical="bottom"/>
    </xf>
    <xf numFmtId="0" fontId="17" fillId="0" borderId="6" applyAlignment="1" pivotButton="0" quotePrefix="0" xfId="0">
      <alignment horizontal="general" vertical="bottom"/>
    </xf>
    <xf numFmtId="0" fontId="16" fillId="0" borderId="7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bottom"/>
    </xf>
    <xf numFmtId="0" fontId="19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general" vertical="center"/>
    </xf>
    <xf numFmtId="0" fontId="17" fillId="0" borderId="8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21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4" fillId="0" borderId="0" applyAlignment="1" pivotButton="0" quotePrefix="0" xfId="0">
      <alignment horizontal="general" vertical="center"/>
    </xf>
    <xf numFmtId="0" fontId="16" fillId="0" borderId="7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center"/>
    </xf>
    <xf numFmtId="0" fontId="0" fillId="0" borderId="8" applyAlignment="1" pivotButton="0" quotePrefix="0" xfId="0">
      <alignment horizontal="general" vertical="center"/>
    </xf>
    <xf numFmtId="0" fontId="16" fillId="0" borderId="9" applyAlignment="1" pivotButton="0" quotePrefix="0" xfId="0">
      <alignment horizontal="general" vertical="bottom"/>
    </xf>
    <xf numFmtId="0" fontId="22" fillId="0" borderId="0" applyAlignment="1" pivotButton="0" quotePrefix="0" xfId="0">
      <alignment horizontal="right" vertical="center" wrapText="1"/>
    </xf>
    <xf numFmtId="0" fontId="22" fillId="0" borderId="0" applyAlignment="1" pivotButton="0" quotePrefix="0" xfId="0">
      <alignment horizontal="right" vertical="center"/>
    </xf>
    <xf numFmtId="0" fontId="6" fillId="0" borderId="10" applyAlignment="1" pivotButton="0" quotePrefix="0" xfId="0">
      <alignment horizontal="general" vertical="center"/>
    </xf>
    <xf numFmtId="0" fontId="16" fillId="0" borderId="11" applyAlignment="1" pivotButton="0" quotePrefix="0" xfId="0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16" fillId="0" borderId="1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0" fontId="22" fillId="0" borderId="0" applyAlignment="1" pivotButton="0" quotePrefix="0" xfId="0">
      <alignment horizontal="right" vertical="center"/>
    </xf>
    <xf numFmtId="0" fontId="0" fillId="0" borderId="12" applyAlignment="1" pivotButton="0" quotePrefix="0" xfId="0">
      <alignment horizontal="general" vertical="center"/>
    </xf>
    <xf numFmtId="0" fontId="26" fillId="0" borderId="0" applyAlignment="1" pivotButton="0" quotePrefix="0" xfId="0">
      <alignment horizontal="center" vertical="bottom"/>
    </xf>
    <xf numFmtId="0" fontId="16" fillId="0" borderId="13" applyAlignment="1" pivotButton="0" quotePrefix="0" xfId="0">
      <alignment horizontal="center" vertical="bottom"/>
    </xf>
    <xf numFmtId="0" fontId="1" fillId="0" borderId="0" applyAlignment="1" pivotButton="0" quotePrefix="0" xfId="0">
      <alignment horizontal="general" vertical="bottom"/>
    </xf>
    <xf numFmtId="0" fontId="6" fillId="0" borderId="14" applyAlignment="1" pivotButton="0" quotePrefix="0" xfId="0">
      <alignment horizontal="general" vertical="center"/>
    </xf>
    <xf numFmtId="0" fontId="19" fillId="0" borderId="2" applyAlignment="1" pivotButton="0" quotePrefix="0" xfId="0">
      <alignment horizontal="center" vertical="center"/>
    </xf>
    <xf numFmtId="0" fontId="0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26" fillId="0" borderId="14" applyAlignment="1" pivotButton="0" quotePrefix="0" xfId="0">
      <alignment horizontal="general" vertical="bottom"/>
    </xf>
    <xf numFmtId="0" fontId="1" fillId="0" borderId="8" applyAlignment="1" pivotButton="0" quotePrefix="0" xfId="0">
      <alignment horizontal="general" vertical="bottom"/>
    </xf>
    <xf numFmtId="0" fontId="12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/>
    </xf>
    <xf numFmtId="165" fontId="13" fillId="0" borderId="1" applyAlignment="1" pivotButton="0" quotePrefix="0" xfId="19">
      <alignment horizontal="center" vertical="center"/>
    </xf>
    <xf numFmtId="0" fontId="27" fillId="0" borderId="0" applyAlignment="1" pivotButton="0" quotePrefix="0" xfId="0">
      <alignment horizontal="center" vertical="center"/>
    </xf>
    <xf numFmtId="165" fontId="0" fillId="0" borderId="0" applyAlignment="1" pivotButton="0" quotePrefix="0" xfId="19">
      <alignment horizontal="center" vertical="center"/>
    </xf>
    <xf numFmtId="166" fontId="13" fillId="0" borderId="1" applyAlignment="1" pivotButton="0" quotePrefix="0" xfId="19">
      <alignment horizontal="center" vertical="center"/>
    </xf>
    <xf numFmtId="165" fontId="0" fillId="0" borderId="0" applyAlignment="1" pivotButton="0" quotePrefix="0" xfId="19">
      <alignment horizontal="center" vertical="center" wrapText="1"/>
    </xf>
    <xf numFmtId="0" fontId="6" fillId="0" borderId="0" applyAlignment="1" pivotButton="0" quotePrefix="0" xfId="0">
      <alignment horizontal="general" vertical="center"/>
    </xf>
    <xf numFmtId="0" fontId="18" fillId="0" borderId="0" applyAlignment="1" pivotButton="0" quotePrefix="0" xfId="0">
      <alignment horizontal="general" vertical="center"/>
    </xf>
    <xf numFmtId="0" fontId="0" fillId="0" borderId="9" applyAlignment="1" pivotButton="0" quotePrefix="0" xfId="0">
      <alignment horizontal="general" vertical="center"/>
    </xf>
    <xf numFmtId="164" fontId="1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29" fillId="0" borderId="1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 wrapText="1"/>
    </xf>
    <xf numFmtId="164" fontId="13" fillId="2" borderId="1" applyAlignment="1" pivotButton="0" quotePrefix="0" xfId="19">
      <alignment horizontal="center" vertical="center"/>
    </xf>
    <xf numFmtId="0" fontId="13" fillId="8" borderId="1" applyAlignment="1" pivotButton="0" quotePrefix="0" xfId="0">
      <alignment horizontal="center" vertical="center"/>
    </xf>
    <xf numFmtId="164" fontId="13" fillId="8" borderId="1" applyAlignment="1" pivotButton="0" quotePrefix="0" xfId="19">
      <alignment horizontal="center" vertical="center"/>
    </xf>
    <xf numFmtId="164" fontId="13" fillId="3" borderId="1" applyAlignment="1" pivotButton="0" quotePrefix="0" xfId="19">
      <alignment horizontal="center" vertical="center" wrapText="1"/>
    </xf>
    <xf numFmtId="0" fontId="13" fillId="3" borderId="1" applyAlignment="1" pivotButton="0" quotePrefix="0" xfId="19">
      <alignment horizontal="center" vertical="center" wrapText="1"/>
    </xf>
    <xf numFmtId="0" fontId="6" fillId="0" borderId="4" applyAlignment="1" pivotButton="0" quotePrefix="0" xfId="0">
      <alignment horizontal="general" vertical="center"/>
    </xf>
    <xf numFmtId="0" fontId="14" fillId="0" borderId="18" applyAlignment="1" pivotButton="0" quotePrefix="0" xfId="0">
      <alignment horizontal="general" vertical="center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常规_Sheet1" xfId="6"/>
  </cellStyles>
  <dxfs count="116"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FF339966"/>
        <sz val="12"/>
      </font>
    </dxf>
    <dxf>
      <font>
        <name val="宋体"/>
        <charset val="134"/>
        <family val="0"/>
        <color rgb="FFFF0000"/>
        <sz val="12"/>
      </font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FF339966"/>
        <sz val="12"/>
      </font>
    </dxf>
    <dxf>
      <font>
        <name val="宋体"/>
        <charset val="134"/>
        <family val="0"/>
        <color rgb="FFFF0000"/>
        <sz val="12"/>
      </font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FF339966"/>
        <sz val="12"/>
      </font>
    </dxf>
    <dxf>
      <font>
        <name val="宋体"/>
        <charset val="134"/>
        <family val="0"/>
        <color rgb="FFFF0000"/>
        <sz val="12"/>
      </font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99CC00"/>
        </patternFill>
      </fill>
    </dxf>
    <dxf>
      <font>
        <name val="宋体"/>
        <charset val="134"/>
        <family val="0"/>
        <color rgb="00FFFFFF"/>
        <sz val="12"/>
      </font>
      <fill>
        <patternFill>
          <bgColor rgb="FFFF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11880</colOff>
      <row>0</row>
      <rowOff>10440</rowOff>
    </from>
    <to>
      <col>27</col>
      <colOff>14400</colOff>
      <row>0</row>
      <rowOff>2679840</rowOff>
    </to>
    <pic>
      <nvPicPr>
        <cNvPr id="0" name="图片 1" descr="0TgJCvkmBdB9McuOEW6G7f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 l="0" t="11970" r="0" b="29194"/>
        <a:stretch xmlns:a="http://schemas.openxmlformats.org/drawingml/2006/main">
          <a:fillRect/>
        </a:stretch>
      </blipFill>
      <spPr>
        <a:xfrm xmlns:a="http://schemas.openxmlformats.org/drawingml/2006/main">
          <a:off x="11880" y="10440"/>
          <a:ext cx="21176640" cy="2669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11880</colOff>
      <row>0</row>
      <rowOff>10440</rowOff>
    </from>
    <to>
      <col>26</col>
      <colOff>16920</colOff>
      <row>0</row>
      <rowOff>2679840</rowOff>
    </to>
    <pic>
      <nvPicPr>
        <cNvPr id="1" name="图片 1" descr="0TgJCvkmBdB9McuOEW6G7f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 l="0" t="11970" r="0" b="29194"/>
        <a:stretch xmlns:a="http://schemas.openxmlformats.org/drawingml/2006/main">
          <a:fillRect/>
        </a:stretch>
      </blipFill>
      <spPr>
        <a:xfrm xmlns:a="http://schemas.openxmlformats.org/drawingml/2006/main">
          <a:off x="11880" y="10440"/>
          <a:ext cx="17126640" cy="2669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AC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609375" defaultRowHeight="15.75" zeroHeight="0" outlineLevelRow="0"/>
  <cols>
    <col width="8.369999999999999" customWidth="1" style="152" min="1" max="1"/>
    <col width="8.69" customWidth="1" style="152" min="2" max="2"/>
    <col width="7.62" customWidth="1" style="152" min="3" max="3"/>
    <col width="7.74" customWidth="1" style="152" min="4" max="4"/>
    <col width="10.69" customWidth="1" style="152" min="5" max="5"/>
    <col hidden="1" width="9.869999999999999" customWidth="1" style="152" min="6" max="6"/>
    <col hidden="1" width="13.27" customWidth="1" style="152" min="7" max="7"/>
    <col width="11.12" customWidth="1" style="152" min="8" max="8"/>
    <col width="13.27" customWidth="1" style="152" min="9" max="9"/>
    <col width="11.87" customWidth="1" style="152" min="10" max="11"/>
    <col width="10.69" customWidth="1" style="152" min="12" max="13"/>
    <col width="10.93" customWidth="1" style="152" min="14" max="14"/>
    <col width="9.83" customWidth="1" style="152" min="15" max="15"/>
    <col width="15.62" customWidth="1" style="152" min="16" max="16"/>
    <col hidden="1" width="10.78" customWidth="1" style="152" min="17" max="18"/>
    <col width="15.62" customWidth="1" style="152" min="19" max="19"/>
    <col hidden="1" width="13.74" customWidth="1" style="152" min="20" max="20"/>
    <col hidden="1" width="10.69" customWidth="1" style="152" min="21" max="21"/>
    <col width="11.24" customWidth="1" style="152" min="22" max="22"/>
    <col hidden="1" width="7.64" customWidth="1" style="153" min="23" max="23"/>
    <col width="11.39" customWidth="1" style="153" min="24" max="24"/>
    <col width="11.66" customWidth="1" style="153" min="25" max="25"/>
    <col width="11.52" customWidth="1" style="153" min="26" max="26"/>
    <col width="7.5" customWidth="1" style="152" min="27" max="27"/>
  </cols>
  <sheetData>
    <row r="1" ht="211" customHeight="1" s="154"/>
    <row r="2" ht="37" customHeight="1" s="154">
      <c r="A2" s="155" t="inlineStr">
        <is>
          <t>阜阳分行私人银行核心指标情况表（2026年4月5日）</t>
        </is>
      </c>
    </row>
    <row r="3" ht="21" customHeight="1" s="154">
      <c r="A3" s="156" t="inlineStr">
        <is>
          <t>单位：万元、户</t>
        </is>
      </c>
    </row>
    <row r="4" ht="37" customHeight="1" s="154">
      <c r="A4" s="157" t="inlineStr">
        <is>
          <t>支行</t>
        </is>
      </c>
      <c r="B4" s="158" t="inlineStr">
        <is>
          <t>当月全量日均600万元以上客户与资产</t>
        </is>
      </c>
      <c r="C4" s="159" t="n"/>
      <c r="D4" s="159" t="n"/>
      <c r="E4" s="159" t="n"/>
      <c r="F4" s="159" t="n"/>
      <c r="G4" s="159" t="n"/>
      <c r="H4" s="159" t="n"/>
      <c r="I4" s="159" t="n"/>
      <c r="J4" s="159" t="n"/>
      <c r="K4" s="159" t="n"/>
      <c r="L4" s="159" t="n"/>
      <c r="M4" s="159" t="n"/>
      <c r="N4" s="159" t="n"/>
      <c r="O4" s="160" t="n"/>
      <c r="P4" s="161" t="inlineStr">
        <is>
          <t>其中：域外月日均资产600万元以上客户</t>
        </is>
      </c>
      <c r="Q4" s="159" t="n"/>
      <c r="R4" s="159" t="n"/>
      <c r="S4" s="159" t="n"/>
      <c r="T4" s="159" t="n"/>
      <c r="U4" s="160" t="n"/>
      <c r="V4" s="162" t="inlineStr">
        <is>
          <t>私银遴选产品规模</t>
        </is>
      </c>
      <c r="X4" s="163" t="inlineStr">
        <is>
          <t xml:space="preserve">私银快贷     </t>
        </is>
      </c>
      <c r="Y4" s="164" t="inlineStr">
        <is>
          <t>当年家族信托</t>
        </is>
      </c>
      <c r="Z4" s="165" t="inlineStr">
        <is>
          <t>当年私银专属期交保险销售</t>
        </is>
      </c>
      <c r="AA4" s="157" t="inlineStr">
        <is>
          <t>支行</t>
        </is>
      </c>
    </row>
    <row r="5" ht="35" customHeight="1" s="154">
      <c r="A5" s="166" t="n"/>
      <c r="B5" s="167" t="inlineStr">
        <is>
          <t>客户（户）</t>
        </is>
      </c>
      <c r="C5" s="159" t="n"/>
      <c r="D5" s="159" t="n"/>
      <c r="E5" s="159" t="n"/>
      <c r="F5" s="159" t="n"/>
      <c r="G5" s="159" t="n"/>
      <c r="H5" s="159" t="n"/>
      <c r="I5" s="159" t="n"/>
      <c r="J5" s="167" t="inlineStr">
        <is>
          <t>达标客户资产（万元）</t>
        </is>
      </c>
      <c r="K5" s="159" t="n"/>
      <c r="L5" s="159" t="n"/>
      <c r="M5" s="159" t="n"/>
      <c r="N5" s="168" t="inlineStr">
        <is>
          <t>其中：日均存款</t>
        </is>
      </c>
      <c r="O5" s="160" t="n"/>
      <c r="P5" s="169" t="inlineStr">
        <is>
          <t>客户（户）</t>
        </is>
      </c>
      <c r="Q5" s="159" t="n"/>
      <c r="R5" s="160" t="n"/>
      <c r="S5" s="169" t="inlineStr">
        <is>
          <t>资产（万元）</t>
        </is>
      </c>
      <c r="T5" s="159" t="n"/>
      <c r="U5" s="160" t="n"/>
      <c r="V5" s="170" t="n"/>
      <c r="W5" s="171" t="n"/>
      <c r="X5" s="172" t="n"/>
      <c r="Y5" s="170" t="n"/>
      <c r="Z5" s="170" t="n"/>
      <c r="AA5" s="166" t="n"/>
    </row>
    <row r="6" ht="39" customHeight="1" s="154">
      <c r="A6" s="173" t="n"/>
      <c r="B6" s="174" t="inlineStr">
        <is>
          <t>客户数</t>
        </is>
      </c>
      <c r="C6" s="174" t="inlineStr">
        <is>
          <t>比上年</t>
        </is>
      </c>
      <c r="D6" s="174" t="inlineStr">
        <is>
          <t>比上月</t>
        </is>
      </c>
      <c r="E6" s="174" t="inlineStr">
        <is>
          <t>本年增幅</t>
        </is>
      </c>
      <c r="F6" s="175" t="inlineStr">
        <is>
          <t>旺季营销目标</t>
        </is>
      </c>
      <c r="G6" s="175" t="inlineStr">
        <is>
          <t>旺季营销目标完成率</t>
        </is>
      </c>
      <c r="H6" s="175" t="inlineStr">
        <is>
          <t>其中：签约客户</t>
        </is>
      </c>
      <c r="I6" s="175" t="inlineStr">
        <is>
          <t>签约率</t>
        </is>
      </c>
      <c r="J6" s="174" t="inlineStr">
        <is>
          <t>资产</t>
        </is>
      </c>
      <c r="K6" s="174" t="inlineStr">
        <is>
          <t>比上年</t>
        </is>
      </c>
      <c r="L6" s="174" t="inlineStr">
        <is>
          <t>比上月</t>
        </is>
      </c>
      <c r="M6" s="174" t="inlineStr">
        <is>
          <t>本年增幅</t>
        </is>
      </c>
      <c r="N6" s="175" t="inlineStr">
        <is>
          <t>余额</t>
        </is>
      </c>
      <c r="O6" s="175" t="inlineStr">
        <is>
          <t>较上月</t>
        </is>
      </c>
      <c r="P6" s="176" t="inlineStr">
        <is>
          <t>异地客户数</t>
        </is>
      </c>
      <c r="Q6" s="176" t="inlineStr">
        <is>
          <t>本地客户数</t>
        </is>
      </c>
      <c r="R6" s="176" t="inlineStr">
        <is>
          <t>本地客户比上年</t>
        </is>
      </c>
      <c r="S6" s="176" t="inlineStr">
        <is>
          <t>异地客户资产</t>
        </is>
      </c>
      <c r="T6" s="176" t="inlineStr">
        <is>
          <t>本地客户资产</t>
        </is>
      </c>
      <c r="U6" s="176" t="inlineStr">
        <is>
          <t>本地资产比上年</t>
        </is>
      </c>
      <c r="V6" s="176" t="inlineStr">
        <is>
          <t>余额</t>
        </is>
      </c>
      <c r="W6" s="176" t="inlineStr">
        <is>
          <t>拓户</t>
        </is>
      </c>
      <c r="X6" s="176" t="inlineStr">
        <is>
          <t>贷款金额</t>
        </is>
      </c>
      <c r="Y6" s="176" t="inlineStr">
        <is>
          <t>已出单</t>
        </is>
      </c>
      <c r="Z6" s="176" t="inlineStr">
        <is>
          <t>已销售</t>
        </is>
      </c>
      <c r="AA6" s="173" t="n"/>
    </row>
    <row r="7" ht="25" customHeight="1" s="154">
      <c r="A7" s="177" t="inlineStr">
        <is>
          <t>颍州</t>
        </is>
      </c>
      <c r="B7" s="178">
        <f>B38</f>
        <v/>
      </c>
      <c r="C7" s="178">
        <f>E38</f>
        <v/>
      </c>
      <c r="D7" s="178">
        <f>E49</f>
        <v/>
      </c>
      <c r="E7" s="179">
        <f>F38</f>
        <v/>
      </c>
      <c r="F7" s="178" t="n">
        <v>7</v>
      </c>
      <c r="G7" s="179">
        <f>(B7-P49)/F7</f>
        <v/>
      </c>
      <c r="H7" s="178">
        <f>H20+H31+H27</f>
        <v/>
      </c>
      <c r="I7" s="179">
        <f>H7/B7</f>
        <v/>
      </c>
      <c r="J7" s="180">
        <f>J49</f>
        <v/>
      </c>
      <c r="K7" s="181">
        <f>K38</f>
        <v/>
      </c>
      <c r="L7" s="181">
        <f>L38</f>
        <v/>
      </c>
      <c r="M7" s="179">
        <f>M38</f>
        <v/>
      </c>
      <c r="N7" s="181">
        <f>(K20+K27+K31)/10000</f>
        <v/>
      </c>
      <c r="O7" s="180">
        <f>N7-L49</f>
        <v/>
      </c>
      <c r="P7" s="182">
        <f>P20+P31+P27</f>
        <v/>
      </c>
      <c r="Q7" s="182">
        <f>B7-P7</f>
        <v/>
      </c>
      <c r="R7" s="182">
        <f>Q7-C38</f>
        <v/>
      </c>
      <c r="S7" s="183">
        <f>S20+S31+S27</f>
        <v/>
      </c>
      <c r="T7" s="183">
        <f>J7-S7</f>
        <v/>
      </c>
      <c r="U7" s="183">
        <f>T7-G38/10000</f>
        <v/>
      </c>
      <c r="V7" s="182" t="n">
        <v>1099</v>
      </c>
      <c r="W7" s="184" t="n">
        <v>4</v>
      </c>
      <c r="X7" s="182" t="n">
        <v>840</v>
      </c>
      <c r="Y7" s="182" t="n">
        <v>0</v>
      </c>
      <c r="Z7" s="182" t="n">
        <v>100</v>
      </c>
      <c r="AA7" s="177" t="inlineStr">
        <is>
          <t>颍州</t>
        </is>
      </c>
    </row>
    <row r="8" ht="25" customHeight="1" s="154">
      <c r="A8" s="177" t="inlineStr">
        <is>
          <t>颍泉</t>
        </is>
      </c>
      <c r="B8" s="178">
        <f>B39</f>
        <v/>
      </c>
      <c r="C8" s="178">
        <f>E39</f>
        <v/>
      </c>
      <c r="D8" s="178">
        <f>E50</f>
        <v/>
      </c>
      <c r="E8" s="179">
        <f>F39</f>
        <v/>
      </c>
      <c r="F8" s="178" t="n">
        <v>7</v>
      </c>
      <c r="G8" s="179">
        <f>(B8-P50)/F8</f>
        <v/>
      </c>
      <c r="H8" s="178">
        <f>H29+H25</f>
        <v/>
      </c>
      <c r="I8" s="179">
        <f>H8/B8</f>
        <v/>
      </c>
      <c r="J8" s="180">
        <f>J50</f>
        <v/>
      </c>
      <c r="K8" s="181">
        <f>K39</f>
        <v/>
      </c>
      <c r="L8" s="181">
        <f>L39</f>
        <v/>
      </c>
      <c r="M8" s="179">
        <f>M39</f>
        <v/>
      </c>
      <c r="N8" s="181">
        <f>(K29+K25)/10000</f>
        <v/>
      </c>
      <c r="O8" s="180">
        <f>N8-L50</f>
        <v/>
      </c>
      <c r="P8" s="182">
        <f>P29+P25</f>
        <v/>
      </c>
      <c r="Q8" s="182">
        <f>B8-P8</f>
        <v/>
      </c>
      <c r="R8" s="182">
        <f>Q8-C39</f>
        <v/>
      </c>
      <c r="S8" s="183">
        <f>S29+S25</f>
        <v/>
      </c>
      <c r="T8" s="183">
        <f>J8-S8</f>
        <v/>
      </c>
      <c r="U8" s="183">
        <f>T8-G39/10000</f>
        <v/>
      </c>
      <c r="V8" s="182" t="n">
        <v>1701</v>
      </c>
      <c r="W8" s="184" t="n">
        <v>2</v>
      </c>
      <c r="X8" s="182" t="n">
        <v>600</v>
      </c>
      <c r="Y8" s="182" t="n">
        <v>500</v>
      </c>
      <c r="Z8" s="182" t="n">
        <v>0</v>
      </c>
      <c r="AA8" s="177" t="inlineStr">
        <is>
          <t>颍泉</t>
        </is>
      </c>
    </row>
    <row r="9" ht="25" customHeight="1" s="154">
      <c r="A9" s="177" t="inlineStr">
        <is>
          <t>颍东</t>
        </is>
      </c>
      <c r="B9" s="178">
        <f>B40</f>
        <v/>
      </c>
      <c r="C9" s="178">
        <f>E40</f>
        <v/>
      </c>
      <c r="D9" s="178">
        <f>E51</f>
        <v/>
      </c>
      <c r="E9" s="179">
        <f>F40</f>
        <v/>
      </c>
      <c r="F9" s="178" t="n">
        <v>6</v>
      </c>
      <c r="G9" s="179">
        <f>(B9-P51)/F9</f>
        <v/>
      </c>
      <c r="H9" s="178">
        <f>H28+H22</f>
        <v/>
      </c>
      <c r="I9" s="179">
        <f>H9/B9</f>
        <v/>
      </c>
      <c r="J9" s="180">
        <f>J51</f>
        <v/>
      </c>
      <c r="K9" s="181">
        <f>K40</f>
        <v/>
      </c>
      <c r="L9" s="181">
        <f>L40</f>
        <v/>
      </c>
      <c r="M9" s="179">
        <f>M40</f>
        <v/>
      </c>
      <c r="N9" s="181">
        <f>(K28+K22)/10000</f>
        <v/>
      </c>
      <c r="O9" s="180">
        <f>N9-L51</f>
        <v/>
      </c>
      <c r="P9" s="185">
        <f>P28+P22</f>
        <v/>
      </c>
      <c r="Q9" s="182">
        <f>B9-P9</f>
        <v/>
      </c>
      <c r="R9" s="182">
        <f>Q9-C40</f>
        <v/>
      </c>
      <c r="S9" s="183">
        <f>S28+S22</f>
        <v/>
      </c>
      <c r="T9" s="183">
        <f>J9-S9</f>
        <v/>
      </c>
      <c r="U9" s="183">
        <f>T9-G40/10000</f>
        <v/>
      </c>
      <c r="V9" s="182" t="n">
        <v>1786</v>
      </c>
      <c r="W9" s="184" t="n">
        <v>0</v>
      </c>
      <c r="X9" s="182" t="n">
        <v>0</v>
      </c>
      <c r="Y9" s="182" t="n">
        <v>0</v>
      </c>
      <c r="Z9" s="182" t="n">
        <v>0</v>
      </c>
      <c r="AA9" s="177" t="inlineStr">
        <is>
          <t>颍东</t>
        </is>
      </c>
    </row>
    <row r="10" ht="25" customHeight="1" s="154">
      <c r="A10" s="177" t="inlineStr">
        <is>
          <t>界首</t>
        </is>
      </c>
      <c r="B10" s="178">
        <f>B41</f>
        <v/>
      </c>
      <c r="C10" s="178">
        <f>E41</f>
        <v/>
      </c>
      <c r="D10" s="178">
        <f>E52</f>
        <v/>
      </c>
      <c r="E10" s="179">
        <f>F41</f>
        <v/>
      </c>
      <c r="F10" s="178" t="n">
        <v>5</v>
      </c>
      <c r="G10" s="179">
        <f>(B10-P52)/F10</f>
        <v/>
      </c>
      <c r="H10" s="178">
        <f>H23</f>
        <v/>
      </c>
      <c r="I10" s="179">
        <f>H10/B10</f>
        <v/>
      </c>
      <c r="J10" s="180">
        <f>J52</f>
        <v/>
      </c>
      <c r="K10" s="181">
        <f>K41</f>
        <v/>
      </c>
      <c r="L10" s="181">
        <f>L41</f>
        <v/>
      </c>
      <c r="M10" s="179">
        <f>M41</f>
        <v/>
      </c>
      <c r="N10" s="181">
        <f>K23/10000</f>
        <v/>
      </c>
      <c r="O10" s="180">
        <f>N10-L52</f>
        <v/>
      </c>
      <c r="P10" s="182">
        <f>P23</f>
        <v/>
      </c>
      <c r="Q10" s="182">
        <f>B10-P10</f>
        <v/>
      </c>
      <c r="R10" s="182">
        <f>Q10-C41</f>
        <v/>
      </c>
      <c r="S10" s="183">
        <f>S23</f>
        <v/>
      </c>
      <c r="T10" s="183">
        <f>J10-S10</f>
        <v/>
      </c>
      <c r="U10" s="183">
        <f>T10-G41/10000</f>
        <v/>
      </c>
      <c r="V10" s="182">
        <f>Z23</f>
        <v/>
      </c>
      <c r="W10" s="184" t="n">
        <v>1</v>
      </c>
      <c r="X10" s="182" t="n">
        <v>310</v>
      </c>
      <c r="Y10" s="182" t="n">
        <v>0</v>
      </c>
      <c r="Z10" s="182" t="n">
        <v>0</v>
      </c>
      <c r="AA10" s="177" t="inlineStr">
        <is>
          <t>界首</t>
        </is>
      </c>
    </row>
    <row r="11" ht="25" customHeight="1" s="154">
      <c r="A11" s="177" t="inlineStr">
        <is>
          <t>临泉</t>
        </is>
      </c>
      <c r="B11" s="178">
        <f>B42</f>
        <v/>
      </c>
      <c r="C11" s="178">
        <f>E42</f>
        <v/>
      </c>
      <c r="D11" s="178">
        <f>E53</f>
        <v/>
      </c>
      <c r="E11" s="179">
        <f>F42</f>
        <v/>
      </c>
      <c r="F11" s="178" t="n">
        <v>5</v>
      </c>
      <c r="G11" s="179">
        <f>(B11-P53)/F11</f>
        <v/>
      </c>
      <c r="H11" s="178">
        <f>H24</f>
        <v/>
      </c>
      <c r="I11" s="179">
        <f>H11/B11</f>
        <v/>
      </c>
      <c r="J11" s="180">
        <f>J53</f>
        <v/>
      </c>
      <c r="K11" s="181">
        <f>K42</f>
        <v/>
      </c>
      <c r="L11" s="181">
        <f>L42</f>
        <v/>
      </c>
      <c r="M11" s="179">
        <f>M42</f>
        <v/>
      </c>
      <c r="N11" s="181">
        <f>K24/10000</f>
        <v/>
      </c>
      <c r="O11" s="180">
        <f>N11-L53</f>
        <v/>
      </c>
      <c r="P11" s="182">
        <f>P24</f>
        <v/>
      </c>
      <c r="Q11" s="182">
        <f>B11-P11</f>
        <v/>
      </c>
      <c r="R11" s="182">
        <f>Q11-C42</f>
        <v/>
      </c>
      <c r="S11" s="183">
        <f>S24</f>
        <v/>
      </c>
      <c r="T11" s="183">
        <f>J11-S11</f>
        <v/>
      </c>
      <c r="U11" s="183">
        <f>T11-G42/10000</f>
        <v/>
      </c>
      <c r="V11" s="182" t="n">
        <v>404</v>
      </c>
      <c r="W11" s="184" t="n">
        <v>4</v>
      </c>
      <c r="X11" s="182" t="n">
        <v>1200</v>
      </c>
      <c r="Y11" s="182" t="n">
        <v>0</v>
      </c>
      <c r="Z11" s="182" t="n">
        <v>0</v>
      </c>
      <c r="AA11" s="177" t="inlineStr">
        <is>
          <t>临泉</t>
        </is>
      </c>
    </row>
    <row r="12" ht="25" customHeight="1" s="154">
      <c r="A12" s="177" t="inlineStr">
        <is>
          <t>阜南</t>
        </is>
      </c>
      <c r="B12" s="178">
        <f>B43</f>
        <v/>
      </c>
      <c r="C12" s="178">
        <f>E43</f>
        <v/>
      </c>
      <c r="D12" s="178">
        <f>E54</f>
        <v/>
      </c>
      <c r="E12" s="179">
        <f>F43</f>
        <v/>
      </c>
      <c r="F12" s="178" t="n">
        <v>5</v>
      </c>
      <c r="G12" s="179">
        <f>(B12-P54)/F12</f>
        <v/>
      </c>
      <c r="H12" s="178">
        <f>H21</f>
        <v/>
      </c>
      <c r="I12" s="179">
        <f>H12/B12</f>
        <v/>
      </c>
      <c r="J12" s="180">
        <f>J54</f>
        <v/>
      </c>
      <c r="K12" s="181">
        <f>K43</f>
        <v/>
      </c>
      <c r="L12" s="181">
        <f>L43</f>
        <v/>
      </c>
      <c r="M12" s="179">
        <f>M43</f>
        <v/>
      </c>
      <c r="N12" s="181">
        <f>K21/10000</f>
        <v/>
      </c>
      <c r="O12" s="180">
        <f>N12-L54</f>
        <v/>
      </c>
      <c r="P12" s="182">
        <f>P21</f>
        <v/>
      </c>
      <c r="Q12" s="182">
        <f>B12-P12</f>
        <v/>
      </c>
      <c r="R12" s="182">
        <f>Q12-C43</f>
        <v/>
      </c>
      <c r="S12" s="183">
        <f>S21</f>
        <v/>
      </c>
      <c r="T12" s="183">
        <f>J12-S12</f>
        <v/>
      </c>
      <c r="U12" s="183">
        <f>T12-G43/10000</f>
        <v/>
      </c>
      <c r="V12" s="182">
        <f>Z21</f>
        <v/>
      </c>
      <c r="W12" s="184" t="n">
        <v>1</v>
      </c>
      <c r="X12" s="182" t="n">
        <v>350</v>
      </c>
      <c r="Y12" s="182" t="n">
        <v>600</v>
      </c>
      <c r="Z12" s="182" t="n">
        <v>100</v>
      </c>
      <c r="AA12" s="177" t="inlineStr">
        <is>
          <t>阜南</t>
        </is>
      </c>
    </row>
    <row r="13" ht="25" customHeight="1" s="154">
      <c r="A13" s="177" t="inlineStr">
        <is>
          <t>颍上</t>
        </is>
      </c>
      <c r="B13" s="178">
        <f>B44</f>
        <v/>
      </c>
      <c r="C13" s="178">
        <f>E44</f>
        <v/>
      </c>
      <c r="D13" s="178">
        <f>E55</f>
        <v/>
      </c>
      <c r="E13" s="179">
        <f>F44</f>
        <v/>
      </c>
      <c r="F13" s="178" t="n">
        <v>6</v>
      </c>
      <c r="G13" s="179">
        <f>(B13-P55)/F13</f>
        <v/>
      </c>
      <c r="H13" s="178">
        <f>H30</f>
        <v/>
      </c>
      <c r="I13" s="179">
        <f>H13/B13</f>
        <v/>
      </c>
      <c r="J13" s="180">
        <f>J55</f>
        <v/>
      </c>
      <c r="K13" s="181">
        <f>K44</f>
        <v/>
      </c>
      <c r="L13" s="181">
        <f>L44</f>
        <v/>
      </c>
      <c r="M13" s="179">
        <f>M44</f>
        <v/>
      </c>
      <c r="N13" s="181">
        <f>K30/10000</f>
        <v/>
      </c>
      <c r="O13" s="180">
        <f>N13-L55</f>
        <v/>
      </c>
      <c r="P13" s="182">
        <f>P30</f>
        <v/>
      </c>
      <c r="Q13" s="182">
        <f>B13-P13</f>
        <v/>
      </c>
      <c r="R13" s="182">
        <f>Q13-C44</f>
        <v/>
      </c>
      <c r="S13" s="183">
        <f>S30</f>
        <v/>
      </c>
      <c r="T13" s="183">
        <f>J13-S13</f>
        <v/>
      </c>
      <c r="U13" s="183">
        <f>T13-G44/10000</f>
        <v/>
      </c>
      <c r="V13" s="182" t="n">
        <v>202</v>
      </c>
      <c r="W13" s="184" t="n">
        <v>2</v>
      </c>
      <c r="X13" s="182" t="n">
        <v>0</v>
      </c>
      <c r="Y13" s="182" t="n">
        <v>0</v>
      </c>
      <c r="Z13" s="182" t="n">
        <v>0</v>
      </c>
      <c r="AA13" s="177" t="inlineStr">
        <is>
          <t>颍上</t>
        </is>
      </c>
    </row>
    <row r="14" ht="25" customHeight="1" s="154">
      <c r="A14" s="177" t="inlineStr">
        <is>
          <t>太和</t>
        </is>
      </c>
      <c r="B14" s="178">
        <f>B45</f>
        <v/>
      </c>
      <c r="C14" s="178">
        <f>E45</f>
        <v/>
      </c>
      <c r="D14" s="178">
        <f>E56</f>
        <v/>
      </c>
      <c r="E14" s="179">
        <f>F45</f>
        <v/>
      </c>
      <c r="F14" s="178" t="n">
        <v>14</v>
      </c>
      <c r="G14" s="179">
        <f>(B14-P56)/F14</f>
        <v/>
      </c>
      <c r="H14" s="178">
        <f>H26</f>
        <v/>
      </c>
      <c r="I14" s="179">
        <f>H14/B14</f>
        <v/>
      </c>
      <c r="J14" s="180">
        <f>J56</f>
        <v/>
      </c>
      <c r="K14" s="181">
        <f>K45</f>
        <v/>
      </c>
      <c r="L14" s="181">
        <f>L45</f>
        <v/>
      </c>
      <c r="M14" s="179">
        <f>M45</f>
        <v/>
      </c>
      <c r="N14" s="181">
        <f>K26/10000</f>
        <v/>
      </c>
      <c r="O14" s="180">
        <f>N14-L56</f>
        <v/>
      </c>
      <c r="P14" s="182">
        <f>P26</f>
        <v/>
      </c>
      <c r="Q14" s="182">
        <f>B14-P14</f>
        <v/>
      </c>
      <c r="R14" s="182">
        <f>Q14-C45</f>
        <v/>
      </c>
      <c r="S14" s="183">
        <f>S26</f>
        <v/>
      </c>
      <c r="T14" s="183">
        <f>J14-S14</f>
        <v/>
      </c>
      <c r="U14" s="183">
        <f>T14-G45/10000</f>
        <v/>
      </c>
      <c r="V14" s="182" t="n">
        <v>801</v>
      </c>
      <c r="W14" s="184" t="n">
        <v>1</v>
      </c>
      <c r="X14" s="182" t="n">
        <v>500</v>
      </c>
      <c r="Y14" s="182" t="n">
        <v>2800</v>
      </c>
      <c r="Z14" s="182" t="n">
        <v>120</v>
      </c>
      <c r="AA14" s="177" t="inlineStr">
        <is>
          <t>太和</t>
        </is>
      </c>
    </row>
    <row r="15" ht="25" customHeight="1" s="154">
      <c r="A15" s="157" t="inlineStr">
        <is>
          <t>合计</t>
        </is>
      </c>
      <c r="B15" s="178">
        <f>B46</f>
        <v/>
      </c>
      <c r="C15" s="178">
        <f>E46</f>
        <v/>
      </c>
      <c r="D15" s="178">
        <f>E57</f>
        <v/>
      </c>
      <c r="E15" s="179">
        <f>F46</f>
        <v/>
      </c>
      <c r="F15" s="178" t="n">
        <v>55</v>
      </c>
      <c r="G15" s="179">
        <f>(B15-P57)/F15</f>
        <v/>
      </c>
      <c r="H15" s="178" t="n">
        <v>191</v>
      </c>
      <c r="I15" s="179">
        <f>H15/B15</f>
        <v/>
      </c>
      <c r="J15" s="180">
        <f>J57</f>
        <v/>
      </c>
      <c r="K15" s="180">
        <f>K46</f>
        <v/>
      </c>
      <c r="L15" s="180">
        <f>L46</f>
        <v/>
      </c>
      <c r="M15" s="179">
        <f>M46</f>
        <v/>
      </c>
      <c r="N15" s="181">
        <f>K33/10000</f>
        <v/>
      </c>
      <c r="O15" s="180">
        <f>N15-L57</f>
        <v/>
      </c>
      <c r="P15" s="157">
        <f>SUM(P7:P14)</f>
        <v/>
      </c>
      <c r="Q15" s="157">
        <f>B15-P15</f>
        <v/>
      </c>
      <c r="R15" s="157">
        <f>Q15-C46</f>
        <v/>
      </c>
      <c r="S15" s="183">
        <f>SUM(S7:S14)</f>
        <v/>
      </c>
      <c r="T15" s="183">
        <f>J15-S15</f>
        <v/>
      </c>
      <c r="U15" s="183">
        <f>T15-G46/10000</f>
        <v/>
      </c>
      <c r="V15" s="186">
        <f>SUM(V7:V14)</f>
        <v/>
      </c>
      <c r="W15" s="184">
        <f>SUM(W7:W14)</f>
        <v/>
      </c>
      <c r="X15" s="184">
        <f>SUM(X7:X14)</f>
        <v/>
      </c>
      <c r="Y15" s="184">
        <f>SUM(Y7:Y14)</f>
        <v/>
      </c>
      <c r="Z15" s="184">
        <f>SUM(Z7:Z14)</f>
        <v/>
      </c>
      <c r="AA15" s="157" t="inlineStr">
        <is>
          <t>合计</t>
        </is>
      </c>
    </row>
    <row r="16" hidden="1" ht="29" customHeight="1" s="154">
      <c r="A16" s="187" t="inlineStr">
        <is>
          <t>备注：因部分客户无归属支行，故合计数大于支行总计</t>
        </is>
      </c>
      <c r="B16" s="188" t="n"/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8" t="n"/>
      <c r="O16" s="188" t="n"/>
      <c r="P16" s="188" t="n"/>
      <c r="Q16" s="188" t="n"/>
      <c r="R16" s="188" t="n"/>
      <c r="S16" s="188" t="n"/>
      <c r="T16" s="188" t="n"/>
      <c r="U16" s="188" t="n"/>
      <c r="V16" s="188" t="n"/>
      <c r="W16" s="188" t="n"/>
      <c r="X16" s="188" t="n"/>
      <c r="Y16" s="188" t="n"/>
      <c r="Z16" s="188" t="n"/>
      <c r="AA16" s="189" t="n"/>
    </row>
    <row r="17" ht="20.25" customHeight="1" s="154">
      <c r="AB17" s="190" t="n"/>
    </row>
    <row r="18" ht="20.25" customHeight="1" s="154">
      <c r="A18" s="191" t="n"/>
      <c r="B18" s="192" t="inlineStr">
        <is>
          <t>值</t>
        </is>
      </c>
      <c r="C18" s="191" t="n"/>
      <c r="D18" s="191" t="n"/>
      <c r="E18" s="191" t="n"/>
      <c r="F18" s="191" t="n"/>
      <c r="G18" s="191" t="n"/>
      <c r="H18" s="191" t="n"/>
      <c r="I18" s="191" t="n"/>
      <c r="J18" s="191" t="n"/>
      <c r="P18" s="193" t="n"/>
      <c r="Q18" s="194" t="inlineStr">
        <is>
          <t>值</t>
        </is>
      </c>
      <c r="R18" s="194" t="n"/>
      <c r="S18" s="195" t="n"/>
      <c r="X18" s="153" t="n"/>
      <c r="Y18" s="153" t="n"/>
      <c r="Z18" s="153" t="n"/>
      <c r="AA18" s="152" t="n"/>
      <c r="AB18" s="190" t="n"/>
    </row>
    <row r="19" ht="47.25" customHeight="1" s="154">
      <c r="A19" s="192" t="inlineStr">
        <is>
          <t>归属支行名称</t>
        </is>
      </c>
      <c r="B19" s="196" t="inlineStr">
        <is>
          <t>汇总</t>
        </is>
      </c>
      <c r="C19" s="197" t="n"/>
      <c r="D19" s="197" t="n"/>
      <c r="E19" s="198" t="n"/>
      <c r="F19" s="176" t="n"/>
      <c r="G19" s="198" t="n"/>
      <c r="H19" s="199" t="inlineStr">
        <is>
          <t>签约客户数</t>
        </is>
      </c>
      <c r="I19" s="199" t="n"/>
      <c r="J19" s="200" t="inlineStr">
        <is>
          <t>求和项:本月月日均资产</t>
        </is>
      </c>
      <c r="K19" s="200" t="inlineStr">
        <is>
          <t>求和项:本月月日均存款</t>
        </is>
      </c>
      <c r="L19" s="201" t="n"/>
      <c r="M19" s="194" t="inlineStr">
        <is>
          <t>归属支行名称</t>
        </is>
      </c>
      <c r="N19" s="194" t="n"/>
      <c r="O19" s="194" t="n"/>
      <c r="P19" s="194" t="inlineStr">
        <is>
          <t>异地客户:计数</t>
        </is>
      </c>
      <c r="Q19" s="202" t="inlineStr">
        <is>
          <t>求和项:本月月日均资产</t>
        </is>
      </c>
      <c r="R19" s="202" t="n"/>
      <c r="S19" s="202" t="inlineStr">
        <is>
          <t>求和项:本月月日均资产</t>
        </is>
      </c>
      <c r="T19" s="201" t="n"/>
      <c r="W19" s="203" t="inlineStr">
        <is>
          <t>遴选产品归属支行</t>
        </is>
      </c>
      <c r="X19" s="203" t="inlineStr">
        <is>
          <t>遴选产品归属支行</t>
        </is>
      </c>
      <c r="Y19" s="203" t="inlineStr">
        <is>
          <t>遴选产品余额</t>
        </is>
      </c>
      <c r="Z19" s="204" t="inlineStr">
        <is>
          <t>换算万元</t>
        </is>
      </c>
      <c r="AA19" s="205" t="n"/>
      <c r="AB19" s="206" t="n"/>
      <c r="AC19" s="207" t="n"/>
    </row>
    <row r="20" ht="15.75" customHeight="1" s="154">
      <c r="A20" s="208" t="inlineStr">
        <is>
          <t>阜阳城建支行</t>
        </is>
      </c>
      <c r="B20" s="209" t="n">
        <v>5</v>
      </c>
      <c r="C20" s="197" t="n"/>
      <c r="D20" s="197" t="n"/>
      <c r="E20" s="210" t="n"/>
      <c r="G20" s="198" t="n"/>
      <c r="H20" s="209" t="n">
        <v>1</v>
      </c>
      <c r="I20" s="211" t="n"/>
      <c r="J20" s="209" t="n">
        <v>37654608.38</v>
      </c>
      <c r="K20" s="209" t="n">
        <v>24285301.25</v>
      </c>
      <c r="L20" s="201" t="n"/>
      <c r="M20" s="192" t="inlineStr">
        <is>
          <t>阜阳城建支行</t>
        </is>
      </c>
      <c r="N20" s="191" t="n"/>
      <c r="O20" s="191" t="n"/>
      <c r="P20" s="193" t="n">
        <v>0</v>
      </c>
      <c r="Q20" s="212" t="n"/>
      <c r="R20" s="213" t="n"/>
      <c r="S20" s="205">
        <f>Q20/10000</f>
        <v/>
      </c>
      <c r="T20" s="152" t="n"/>
      <c r="W20" s="192" t="inlineStr">
        <is>
          <t>阜阳城建支行</t>
        </is>
      </c>
      <c r="X20" s="192" t="inlineStr">
        <is>
          <t>阜阳城建支行</t>
        </is>
      </c>
      <c r="Y20" s="209" t="n">
        <v>825027</v>
      </c>
      <c r="Z20" s="214">
        <f>Y20/10000</f>
        <v/>
      </c>
      <c r="AA20" s="215" t="n"/>
      <c r="AB20" s="205" t="n">
        <v>10000</v>
      </c>
      <c r="AC20" s="205" t="n"/>
    </row>
    <row r="21" ht="15.75" customHeight="1" s="154">
      <c r="A21" s="216" t="inlineStr">
        <is>
          <t>阜阳阜南支行营业室</t>
        </is>
      </c>
      <c r="B21" s="209" t="n">
        <v>30</v>
      </c>
      <c r="C21" s="197" t="n"/>
      <c r="D21" s="197" t="n"/>
      <c r="E21" s="217" t="n"/>
      <c r="G21" s="198" t="n"/>
      <c r="H21" s="209" t="n">
        <v>14</v>
      </c>
      <c r="I21" s="199" t="n"/>
      <c r="J21" s="209" t="n">
        <v>283530084.09</v>
      </c>
      <c r="K21" s="209" t="n">
        <v>213216663.53</v>
      </c>
      <c r="L21" s="201" t="n"/>
      <c r="M21" s="218" t="inlineStr">
        <is>
          <t>阜阳阜南支行营业室</t>
        </is>
      </c>
      <c r="N21" s="209" t="n"/>
      <c r="O21" s="209" t="n"/>
      <c r="P21" s="209" t="n">
        <v>4</v>
      </c>
      <c r="Q21" s="209" t="n">
        <v>48427421.57</v>
      </c>
      <c r="R21" s="212" t="n"/>
      <c r="S21" s="205">
        <f>Q21/10000</f>
        <v/>
      </c>
      <c r="T21" s="152" t="n"/>
      <c r="W21" s="218" t="inlineStr">
        <is>
          <t>阜阳阜南支行营业室</t>
        </is>
      </c>
      <c r="X21" s="218" t="inlineStr">
        <is>
          <t>阜阳阜南支行营业室</t>
        </is>
      </c>
      <c r="Y21" s="153" t="n"/>
      <c r="Z21" s="214">
        <f>Y21/10000</f>
        <v/>
      </c>
      <c r="AA21" s="215" t="n"/>
      <c r="AB21" s="205" t="n"/>
      <c r="AC21" s="205" t="n"/>
    </row>
    <row r="22" ht="15.75" customHeight="1" s="154">
      <c r="A22" s="216" t="inlineStr">
        <is>
          <t>阜阳汇通支行</t>
        </is>
      </c>
      <c r="B22" s="209" t="n">
        <v>1</v>
      </c>
      <c r="C22" s="197" t="n"/>
      <c r="D22" s="197" t="n"/>
      <c r="E22" s="217" t="n"/>
      <c r="G22" s="198" t="n"/>
      <c r="H22" s="209" t="n"/>
      <c r="I22" s="199" t="n"/>
      <c r="J22" s="209" t="n">
        <v>6714612.87</v>
      </c>
      <c r="K22" s="209" t="n">
        <v>2240574</v>
      </c>
      <c r="L22" s="201" t="n"/>
      <c r="M22" s="192" t="inlineStr">
        <is>
          <t>阜阳汇通支行</t>
        </is>
      </c>
      <c r="N22" s="191" t="n"/>
      <c r="O22" s="191" t="n"/>
      <c r="P22" s="219" t="n"/>
      <c r="Q22" s="219" t="n"/>
      <c r="R22" s="220" t="n"/>
      <c r="S22" s="205">
        <f>Q22/10000</f>
        <v/>
      </c>
      <c r="T22" s="152" t="n"/>
      <c r="W22" s="192" t="inlineStr">
        <is>
          <t>阜阳汇通支行</t>
        </is>
      </c>
      <c r="X22" s="192" t="inlineStr">
        <is>
          <t>阜阳汇通支行</t>
        </is>
      </c>
      <c r="Y22" s="153" t="n"/>
      <c r="Z22" s="214">
        <f>Y22/10000</f>
        <v/>
      </c>
      <c r="AA22" s="221" t="n"/>
      <c r="AB22" s="215" t="n"/>
      <c r="AC22" s="215" t="n"/>
    </row>
    <row r="23" ht="15.75" customHeight="1" s="154">
      <c r="A23" s="216" t="inlineStr">
        <is>
          <t>阜阳界首支行营业室</t>
        </is>
      </c>
      <c r="B23" s="209" t="n">
        <v>20</v>
      </c>
      <c r="C23" s="197" t="n"/>
      <c r="D23" s="197" t="n"/>
      <c r="E23" s="217" t="n"/>
      <c r="G23" s="198" t="n"/>
      <c r="H23" s="209" t="n">
        <v>13</v>
      </c>
      <c r="I23" s="211" t="n"/>
      <c r="J23" s="209" t="n">
        <v>168831755.04</v>
      </c>
      <c r="K23" s="209" t="n">
        <v>127753411.1</v>
      </c>
      <c r="L23" s="201" t="n"/>
      <c r="M23" s="192" t="inlineStr">
        <is>
          <t>阜阳界首支行营业室</t>
        </is>
      </c>
      <c r="N23" s="191" t="n"/>
      <c r="O23" s="191" t="n"/>
      <c r="P23" s="209" t="n">
        <v>1</v>
      </c>
      <c r="Q23" s="209" t="n">
        <v>6000510.03</v>
      </c>
      <c r="R23" s="222" t="n"/>
      <c r="S23" s="205">
        <f>Q23/10000</f>
        <v/>
      </c>
      <c r="T23" s="152" t="n"/>
      <c r="W23" s="192" t="inlineStr">
        <is>
          <t>阜阳界首支行营业室</t>
        </is>
      </c>
      <c r="X23" s="192" t="inlineStr">
        <is>
          <t>阜阳界首支行营业室</t>
        </is>
      </c>
      <c r="Y23" s="153" t="n"/>
      <c r="Z23" s="214">
        <f>Y23/10000</f>
        <v/>
      </c>
      <c r="AA23" s="215" t="n"/>
      <c r="AB23" s="215" t="n"/>
      <c r="AC23" s="215" t="n"/>
    </row>
    <row r="24" ht="15.75" customHeight="1" s="154">
      <c r="A24" s="216" t="inlineStr">
        <is>
          <t>阜阳临泉支行营业室</t>
        </is>
      </c>
      <c r="B24" s="209" t="n">
        <v>21</v>
      </c>
      <c r="C24" s="197" t="n"/>
      <c r="D24" s="197" t="n"/>
      <c r="E24" s="217" t="n"/>
      <c r="G24" s="198" t="n"/>
      <c r="H24" s="209" t="n">
        <v>18</v>
      </c>
      <c r="I24" s="199" t="n"/>
      <c r="J24" s="209" t="n">
        <v>200646614.95</v>
      </c>
      <c r="K24" s="209" t="n">
        <v>140405744.22</v>
      </c>
      <c r="L24" s="201" t="n"/>
      <c r="M24" s="218" t="inlineStr">
        <is>
          <t>阜阳临泉支行营业室</t>
        </is>
      </c>
      <c r="N24" s="209" t="n"/>
      <c r="O24" s="209" t="n"/>
      <c r="P24" s="209" t="n">
        <v>1</v>
      </c>
      <c r="Q24" s="209" t="n">
        <v>8298059.09</v>
      </c>
      <c r="R24" s="222" t="n"/>
      <c r="S24" s="205">
        <f>Q24/10000</f>
        <v/>
      </c>
      <c r="T24" s="152" t="n"/>
      <c r="W24" s="218" t="inlineStr">
        <is>
          <t>阜阳临泉支行营业室</t>
        </is>
      </c>
      <c r="X24" s="218" t="inlineStr">
        <is>
          <t>阜阳临泉支行营业室</t>
        </is>
      </c>
      <c r="Y24" s="209" t="n">
        <v>4017008</v>
      </c>
      <c r="Z24" s="214">
        <f>Y24/10000</f>
        <v/>
      </c>
      <c r="AA24" s="215" t="n"/>
      <c r="AB24" s="215" t="n"/>
      <c r="AC24" s="215" t="n"/>
    </row>
    <row r="25" ht="15.75" customHeight="1" s="154">
      <c r="A25" s="216" t="inlineStr">
        <is>
          <t>阜阳牡丹支行</t>
        </is>
      </c>
      <c r="B25" s="209" t="n">
        <v>5</v>
      </c>
      <c r="C25" s="197" t="n"/>
      <c r="D25" s="197" t="n"/>
      <c r="E25" s="217" t="n"/>
      <c r="G25" s="198" t="n"/>
      <c r="H25" s="209" t="n">
        <v>4</v>
      </c>
      <c r="I25" s="199" t="n"/>
      <c r="J25" s="209" t="n">
        <v>43662795.06</v>
      </c>
      <c r="K25" s="209" t="n">
        <v>38656089.58</v>
      </c>
      <c r="L25" s="201" t="n"/>
      <c r="M25" s="192" t="inlineStr">
        <is>
          <t>阜阳牡丹支行</t>
        </is>
      </c>
      <c r="N25" s="191" t="n"/>
      <c r="O25" s="191" t="n"/>
      <c r="P25" s="216" t="n">
        <v>0</v>
      </c>
      <c r="Q25" s="222" t="n"/>
      <c r="R25" s="222" t="n"/>
      <c r="S25" s="205">
        <f>Q25/10000</f>
        <v/>
      </c>
      <c r="T25" s="152" t="n"/>
      <c r="W25" s="192" t="inlineStr">
        <is>
          <t>阜阳牡丹支行</t>
        </is>
      </c>
      <c r="X25" s="192" t="inlineStr">
        <is>
          <t>阜阳牡丹支行</t>
        </is>
      </c>
      <c r="Y25" s="153" t="n"/>
      <c r="Z25" s="214">
        <f>Y25/10000</f>
        <v/>
      </c>
      <c r="AA25" s="215" t="n"/>
      <c r="AB25" s="215" t="n"/>
      <c r="AC25" s="215" t="n"/>
    </row>
    <row r="26" ht="15.75" customHeight="1" s="154">
      <c r="A26" s="216" t="inlineStr">
        <is>
          <t>阜阳太和支行营业室</t>
        </is>
      </c>
      <c r="B26" s="209" t="n">
        <v>93</v>
      </c>
      <c r="C26" s="197" t="n"/>
      <c r="D26" s="197" t="n"/>
      <c r="E26" s="217" t="n"/>
      <c r="G26" s="198" t="n"/>
      <c r="H26" s="209" t="n">
        <v>77</v>
      </c>
      <c r="I26" s="199" t="n"/>
      <c r="J26" s="209" t="n">
        <v>1268982674.16</v>
      </c>
      <c r="K26" s="209" t="n">
        <v>1036597525.32</v>
      </c>
      <c r="L26" s="201" t="n"/>
      <c r="M26" s="192" t="inlineStr">
        <is>
          <t>阜阳太和支行营业室</t>
        </is>
      </c>
      <c r="N26" s="191" t="n"/>
      <c r="O26" s="191" t="n"/>
      <c r="P26" s="209" t="n">
        <v>1</v>
      </c>
      <c r="Q26" s="209" t="n">
        <v>19280302.55</v>
      </c>
      <c r="R26" s="222" t="n"/>
      <c r="S26" s="205">
        <f>Q26/10000</f>
        <v/>
      </c>
      <c r="T26" s="152" t="n"/>
      <c r="W26" s="192" t="inlineStr">
        <is>
          <t>阜阳太和支行营业室</t>
        </is>
      </c>
      <c r="X26" s="192" t="inlineStr">
        <is>
          <t>阜阳太和支行营业室</t>
        </is>
      </c>
      <c r="Y26" s="153" t="n">
        <v>8000000</v>
      </c>
      <c r="Z26" s="214">
        <f>Y26/10000</f>
        <v/>
      </c>
      <c r="AA26" s="215" t="n"/>
      <c r="AB26" s="215" t="n"/>
      <c r="AC26" s="215" t="n"/>
    </row>
    <row r="27" ht="15.75" customHeight="1" s="154">
      <c r="A27" s="216" t="inlineStr">
        <is>
          <t>阜阳文峰支行</t>
        </is>
      </c>
      <c r="B27" s="209" t="n">
        <v>13</v>
      </c>
      <c r="C27" s="197" t="n"/>
      <c r="D27" s="197" t="n"/>
      <c r="E27" s="217" t="n"/>
      <c r="G27" s="198" t="n"/>
      <c r="H27" s="209" t="n">
        <v>9</v>
      </c>
      <c r="I27" s="199" t="n"/>
      <c r="J27" s="209" t="n">
        <v>147876620.1</v>
      </c>
      <c r="K27" s="209" t="n">
        <v>94512650.44</v>
      </c>
      <c r="L27" s="201" t="n"/>
      <c r="M27" s="192" t="inlineStr">
        <is>
          <t>阜阳文峰支行</t>
        </is>
      </c>
      <c r="N27" s="191" t="n"/>
      <c r="O27" s="191" t="n"/>
      <c r="P27" s="209" t="n">
        <v>1</v>
      </c>
      <c r="Q27" s="209" t="n">
        <v>6328431.38</v>
      </c>
      <c r="R27" s="152" t="n"/>
      <c r="S27" s="205">
        <f>Q27/10000</f>
        <v/>
      </c>
      <c r="T27" s="152" t="n"/>
      <c r="W27" s="192" t="inlineStr">
        <is>
          <t>阜阳文峰支行</t>
        </is>
      </c>
      <c r="X27" s="192" t="inlineStr">
        <is>
          <t>阜阳文峰支行</t>
        </is>
      </c>
      <c r="Y27" s="209" t="n">
        <v>3197627</v>
      </c>
      <c r="Z27" s="214">
        <f>Y27/10000</f>
        <v/>
      </c>
      <c r="AA27" s="215" t="n"/>
      <c r="AB27" s="215" t="n"/>
      <c r="AC27" s="215" t="n"/>
    </row>
    <row r="28" ht="15.75" customHeight="1" s="154">
      <c r="A28" s="216" t="inlineStr">
        <is>
          <t>阜阳颍东支行营业室</t>
        </is>
      </c>
      <c r="B28" s="209" t="n">
        <v>23</v>
      </c>
      <c r="C28" s="197" t="n"/>
      <c r="D28" s="197" t="n"/>
      <c r="E28" s="217" t="n"/>
      <c r="G28" s="198" t="n"/>
      <c r="H28" s="209" t="n">
        <v>12</v>
      </c>
      <c r="I28" s="199" t="n"/>
      <c r="J28" s="209" t="n">
        <v>347056444.58</v>
      </c>
      <c r="K28" s="209" t="n">
        <v>238612479.39</v>
      </c>
      <c r="L28" s="201" t="n"/>
      <c r="M28" s="223" t="inlineStr">
        <is>
          <t>阜阳颍东支行营业室</t>
        </is>
      </c>
      <c r="N28" s="223" t="n"/>
      <c r="O28" s="223" t="n"/>
      <c r="P28" s="209" t="n">
        <v>8</v>
      </c>
      <c r="Q28" s="209" t="n">
        <v>127842189.63</v>
      </c>
      <c r="R28" s="152" t="n"/>
      <c r="S28" s="205">
        <f>Q28/10000</f>
        <v/>
      </c>
      <c r="T28" s="201" t="n"/>
      <c r="W28" s="223" t="inlineStr">
        <is>
          <t>阜阳颍东支行营业室</t>
        </is>
      </c>
      <c r="X28" s="223" t="inlineStr">
        <is>
          <t>阜阳颍东支行营业室</t>
        </is>
      </c>
      <c r="Y28" s="209" t="n">
        <v>18067039</v>
      </c>
      <c r="Z28" s="214">
        <f>Y28/10000</f>
        <v/>
      </c>
      <c r="AA28" s="215" t="n"/>
      <c r="AB28" s="215" t="n"/>
      <c r="AC28" s="215" t="n"/>
    </row>
    <row r="29" ht="15.75" customHeight="1" s="154">
      <c r="A29" s="216" t="inlineStr">
        <is>
          <t>阜阳颍泉支行营业室</t>
        </is>
      </c>
      <c r="B29" s="209" t="n">
        <v>37</v>
      </c>
      <c r="C29" s="197" t="n"/>
      <c r="D29" s="197" t="n"/>
      <c r="E29" s="217" t="n"/>
      <c r="G29" s="198" t="n"/>
      <c r="H29" s="209" t="n">
        <v>20</v>
      </c>
      <c r="I29" s="199" t="n"/>
      <c r="J29" s="209" t="n">
        <v>368971365.22</v>
      </c>
      <c r="K29" s="209" t="n">
        <v>241496217.21</v>
      </c>
      <c r="L29" s="201" t="n"/>
      <c r="M29" s="192" t="inlineStr">
        <is>
          <t>阜阳颍泉支行营业室</t>
        </is>
      </c>
      <c r="N29" s="191" t="n"/>
      <c r="O29" s="191" t="n"/>
      <c r="P29" s="209" t="n">
        <v>4</v>
      </c>
      <c r="Q29" s="209" t="n">
        <v>37801252.43</v>
      </c>
      <c r="R29" s="222" t="n"/>
      <c r="S29" s="205">
        <f>Q29/10000</f>
        <v/>
      </c>
      <c r="T29" s="201" t="n"/>
      <c r="W29" s="192" t="inlineStr">
        <is>
          <t>阜阳颍泉支行营业室</t>
        </is>
      </c>
      <c r="X29" s="192" t="inlineStr">
        <is>
          <t>阜阳颍泉支行营业室</t>
        </is>
      </c>
      <c r="Y29" s="209" t="n">
        <v>17027962</v>
      </c>
      <c r="Z29" s="214">
        <f>Y29/10000</f>
        <v/>
      </c>
      <c r="AA29" s="215" t="n"/>
      <c r="AB29" s="215" t="n"/>
      <c r="AC29" s="215" t="n"/>
    </row>
    <row r="30" ht="15.75" customHeight="1" s="154">
      <c r="A30" s="216" t="inlineStr">
        <is>
          <t>阜阳颍上支行营业室</t>
        </is>
      </c>
      <c r="B30" s="209" t="n">
        <v>16</v>
      </c>
      <c r="C30" s="197" t="n"/>
      <c r="D30" s="197" t="n"/>
      <c r="E30" s="217" t="n"/>
      <c r="G30" s="198" t="n"/>
      <c r="H30" s="209" t="n">
        <v>13</v>
      </c>
      <c r="I30" s="199" t="n"/>
      <c r="J30" s="209" t="n">
        <v>136309789.91</v>
      </c>
      <c r="K30" s="209" t="n">
        <v>95649176.59999999</v>
      </c>
      <c r="L30" s="201" t="n"/>
      <c r="M30" s="192" t="inlineStr">
        <is>
          <t>阜阳颍上支行营业室</t>
        </is>
      </c>
      <c r="N30" s="191" t="n"/>
      <c r="O30" s="191" t="n"/>
      <c r="P30" s="209" t="n">
        <v>1</v>
      </c>
      <c r="Q30" s="209" t="n">
        <v>10261593.61</v>
      </c>
      <c r="R30" s="222" t="n"/>
      <c r="S30" s="205">
        <f>Q30/10000</f>
        <v/>
      </c>
      <c r="T30" s="201" t="n"/>
      <c r="W30" s="192" t="inlineStr">
        <is>
          <t>阜阳颍上支行营业室</t>
        </is>
      </c>
      <c r="X30" s="192" t="inlineStr">
        <is>
          <t>阜阳颍上支行营业室</t>
        </is>
      </c>
      <c r="Y30" s="209" t="n">
        <v>2005999</v>
      </c>
      <c r="Z30" s="214">
        <f>Y30/10000</f>
        <v/>
      </c>
      <c r="AA30" s="215" t="n"/>
      <c r="AB30" s="215" t="n"/>
      <c r="AC30" s="215" t="n"/>
    </row>
    <row r="31" ht="15.75" customHeight="1" s="154">
      <c r="A31" s="216" t="inlineStr">
        <is>
          <t>阜阳颍州支行营业室</t>
        </is>
      </c>
      <c r="B31" s="209" t="n">
        <v>19</v>
      </c>
      <c r="C31" s="197" t="n"/>
      <c r="D31" s="196" t="n"/>
      <c r="E31" s="224" t="n"/>
      <c r="G31" s="198" t="n"/>
      <c r="H31" s="209" t="n">
        <v>15</v>
      </c>
      <c r="I31" s="199" t="n"/>
      <c r="J31" s="209" t="n">
        <v>145474192.07</v>
      </c>
      <c r="K31" s="209" t="n">
        <v>89305495.09</v>
      </c>
      <c r="L31" s="201" t="n"/>
      <c r="M31" s="192" t="inlineStr">
        <is>
          <t>阜阳颍州支行营业室</t>
        </is>
      </c>
      <c r="N31" s="191" t="n"/>
      <c r="O31" s="191" t="n"/>
      <c r="P31" s="209" t="n">
        <v>1</v>
      </c>
      <c r="Q31" s="209" t="n">
        <v>9868045.970000001</v>
      </c>
      <c r="R31" s="222" t="n"/>
      <c r="S31" s="205">
        <f>Q31/10000</f>
        <v/>
      </c>
      <c r="T31" s="201" t="n"/>
      <c r="W31" s="192" t="inlineStr">
        <is>
          <t>阜阳颍州支行营业室</t>
        </is>
      </c>
      <c r="X31" s="192" t="inlineStr">
        <is>
          <t>阜阳颍州支行营业室</t>
        </is>
      </c>
      <c r="Y31" s="209" t="n">
        <v>7165479</v>
      </c>
      <c r="Z31" s="214">
        <f>Y31/10000</f>
        <v/>
      </c>
      <c r="AA31" s="215" t="n"/>
      <c r="AB31" s="215" t="n"/>
      <c r="AC31" s="215" t="n"/>
    </row>
    <row r="32" ht="15.75" customHeight="1" s="154">
      <c r="A32" s="216" t="n"/>
      <c r="B32" s="216" t="n"/>
      <c r="C32" s="196" t="n"/>
      <c r="D32" s="201" t="n"/>
      <c r="E32" s="201" t="n"/>
      <c r="G32" s="198" t="n"/>
      <c r="I32" s="199" t="n"/>
      <c r="K32" s="222" t="n"/>
      <c r="L32" s="201" t="n"/>
      <c r="M32" s="225" t="n"/>
      <c r="N32" s="225" t="n"/>
      <c r="O32" s="225" t="n"/>
      <c r="P32" s="216" t="n"/>
      <c r="Q32" s="222" t="n"/>
      <c r="R32" s="222" t="n"/>
      <c r="S32" s="205" t="n">
        <v>0</v>
      </c>
      <c r="T32" s="201" t="n"/>
      <c r="Y32" s="209" t="n"/>
      <c r="Z32" s="214" t="n"/>
      <c r="AA32" s="152" t="n"/>
      <c r="AB32" s="215" t="n"/>
      <c r="AC32" s="215" t="n"/>
    </row>
    <row r="33" ht="15.75" customHeight="1" s="154">
      <c r="A33" s="226" t="inlineStr">
        <is>
          <t>总计</t>
        </is>
      </c>
      <c r="B33" s="226">
        <f>SUM(B20:B32)</f>
        <v/>
      </c>
      <c r="C33" s="196" t="n"/>
      <c r="D33" s="201" t="n"/>
      <c r="E33" s="201" t="n"/>
      <c r="G33" s="198" t="n"/>
      <c r="H33" s="227">
        <f>SUM(H20:H32)</f>
        <v/>
      </c>
      <c r="I33" s="227" t="n"/>
      <c r="J33" s="228">
        <f>SUM(J20:J32)</f>
        <v/>
      </c>
      <c r="K33" s="229">
        <f>SUM(K20:K32)</f>
        <v/>
      </c>
      <c r="L33" s="201" t="n"/>
      <c r="M33" s="230" t="inlineStr">
        <is>
          <t>总计</t>
        </is>
      </c>
      <c r="N33" s="230" t="n"/>
      <c r="O33" s="230" t="n"/>
      <c r="P33" s="226">
        <f>SUM(P20:P32)</f>
        <v/>
      </c>
      <c r="Q33" s="229">
        <f>SUM(Q20:Q32)</f>
        <v/>
      </c>
      <c r="R33" s="212" t="n"/>
      <c r="S33" s="231" t="n"/>
      <c r="T33" s="201" t="n"/>
      <c r="W33" s="203" t="inlineStr">
        <is>
          <t>合计</t>
        </is>
      </c>
      <c r="X33" s="203" t="inlineStr">
        <is>
          <t>合计</t>
        </is>
      </c>
      <c r="Y33" s="209" t="n">
        <v>49606141</v>
      </c>
      <c r="Z33" s="214">
        <f>Y33/10000</f>
        <v/>
      </c>
      <c r="AA33" s="152" t="n"/>
      <c r="AB33" s="215" t="n"/>
      <c r="AC33" s="215" t="n"/>
    </row>
    <row r="34" ht="15.75" customHeight="1" s="154">
      <c r="X34" s="153" t="n"/>
      <c r="Y34" s="153" t="n"/>
      <c r="Z34" s="153" t="n"/>
      <c r="AA34" s="152" t="n"/>
      <c r="AB34" s="152" t="n"/>
      <c r="AC34" s="152" t="n"/>
    </row>
    <row r="35" ht="15.75" customHeight="1" s="154">
      <c r="X35" s="153" t="n"/>
      <c r="Y35" s="153" t="n"/>
      <c r="Z35" s="153" t="n"/>
      <c r="AA35" s="152" t="n"/>
      <c r="AB35" s="152" t="n"/>
      <c r="AC35" s="152" t="n"/>
    </row>
    <row r="36" ht="18.75" customHeight="1" s="154">
      <c r="A36" s="157" t="inlineStr">
        <is>
          <t>支行</t>
        </is>
      </c>
      <c r="B36" s="232" t="inlineStr">
        <is>
          <t>月日均600万元以上客户</t>
        </is>
      </c>
      <c r="C36" s="159" t="n"/>
      <c r="D36" s="159" t="n"/>
      <c r="E36" s="159" t="n"/>
      <c r="F36" s="160" t="n"/>
      <c r="G36" s="233" t="inlineStr">
        <is>
          <t>去年12月月日均资产</t>
        </is>
      </c>
      <c r="H36" s="234" t="n"/>
      <c r="I36" s="234" t="n"/>
      <c r="J36" s="233" t="inlineStr">
        <is>
          <t>本月最新日均资产</t>
        </is>
      </c>
      <c r="K36" s="192" t="inlineStr">
        <is>
          <t>比上年</t>
        </is>
      </c>
      <c r="L36" s="191" t="n"/>
      <c r="M36" s="235" t="inlineStr">
        <is>
          <t>增幅</t>
        </is>
      </c>
      <c r="N36" s="236" t="n"/>
      <c r="O36" s="236" t="n"/>
      <c r="P36" s="232" t="inlineStr">
        <is>
          <t>月日均2000万元以上</t>
        </is>
      </c>
      <c r="Q36" s="159" t="n"/>
      <c r="R36" s="159" t="n"/>
      <c r="S36" s="159" t="n"/>
      <c r="T36" s="160" t="n"/>
      <c r="U36" s="236" t="n"/>
      <c r="V36" s="236" t="n"/>
      <c r="W36" s="237" t="n"/>
      <c r="X36" s="238" t="n"/>
      <c r="Y36" s="234" t="n"/>
      <c r="AB36" s="152" t="n"/>
      <c r="AC36" s="152" t="n"/>
    </row>
    <row r="37" ht="37.5" customFormat="1" customHeight="1" s="153">
      <c r="A37" s="173" t="n"/>
      <c r="B37" s="176" t="inlineStr">
        <is>
          <t>客户数</t>
        </is>
      </c>
      <c r="C37" s="239" t="inlineStr">
        <is>
          <t>2025年末</t>
        </is>
      </c>
      <c r="D37" s="240" t="inlineStr">
        <is>
          <t>上月月末</t>
        </is>
      </c>
      <c r="E37" s="176" t="inlineStr">
        <is>
          <t>比上年</t>
        </is>
      </c>
      <c r="F37" s="176" t="inlineStr">
        <is>
          <t>增幅</t>
        </is>
      </c>
      <c r="H37" s="234" t="n"/>
      <c r="I37" s="234" t="n"/>
      <c r="L37" s="233" t="inlineStr">
        <is>
          <t>比上月</t>
        </is>
      </c>
      <c r="N37" s="238" t="n"/>
      <c r="O37" s="238" t="n"/>
      <c r="P37" s="176" t="inlineStr">
        <is>
          <t>客户数</t>
        </is>
      </c>
      <c r="Q37" s="239" t="inlineStr">
        <is>
          <t>2025年末客户数</t>
        </is>
      </c>
      <c r="R37" s="238" t="n"/>
      <c r="S37" s="153" t="inlineStr">
        <is>
          <t>1本月最新日均资产</t>
        </is>
      </c>
      <c r="T37" s="239" t="inlineStr">
        <is>
          <t>2025年末资产</t>
        </is>
      </c>
      <c r="U37" s="241" t="inlineStr">
        <is>
          <t>上月资产</t>
        </is>
      </c>
      <c r="V37" s="238" t="n"/>
      <c r="W37" s="238" t="n"/>
      <c r="X37" s="238" t="n"/>
      <c r="Y37" s="234" t="n"/>
      <c r="AB37" s="153" t="n"/>
      <c r="AC37" s="153" t="n"/>
    </row>
    <row r="38" ht="18.75" customHeight="1" s="154">
      <c r="A38" s="177" t="inlineStr">
        <is>
          <t>颍州</t>
        </is>
      </c>
      <c r="B38" s="242">
        <f>B31+B20+B27</f>
        <v/>
      </c>
      <c r="C38" s="242" t="n">
        <v>32</v>
      </c>
      <c r="D38" s="178" t="n">
        <v>33</v>
      </c>
      <c r="E38" s="182">
        <f>B38-C38</f>
        <v/>
      </c>
      <c r="F38" s="243">
        <f>E38/C38</f>
        <v/>
      </c>
      <c r="G38" s="152" t="n">
        <v>300745384.94</v>
      </c>
      <c r="J38" s="182">
        <f>J31+J20+J27</f>
        <v/>
      </c>
      <c r="K38" s="242">
        <f>(J38-G38)/10000</f>
        <v/>
      </c>
      <c r="L38" s="244">
        <f>J49-K49</f>
        <v/>
      </c>
      <c r="M38" s="245">
        <f>K38*10000/G38</f>
        <v/>
      </c>
      <c r="N38" s="245" t="n"/>
      <c r="O38" s="245" t="n"/>
      <c r="P38" s="242">
        <f>P31+P20+P27</f>
        <v/>
      </c>
      <c r="Q38" s="242" t="n">
        <v>3</v>
      </c>
      <c r="R38" s="242" t="n"/>
      <c r="S38" s="182">
        <f>S31+S20+S27</f>
        <v/>
      </c>
      <c r="T38" s="246" t="n">
        <v>7003.959717</v>
      </c>
      <c r="U38" s="246" t="n">
        <v>5011.332289</v>
      </c>
      <c r="V38" s="245" t="n"/>
      <c r="W38" s="247" t="n"/>
      <c r="X38" s="247" t="n"/>
      <c r="Y38" s="234" t="n"/>
      <c r="AB38" s="152" t="n"/>
      <c r="AC38" s="152" t="n"/>
    </row>
    <row r="39" ht="18.75" customHeight="1" s="154">
      <c r="A39" s="177" t="inlineStr">
        <is>
          <t>颍泉</t>
        </is>
      </c>
      <c r="B39" s="242">
        <f>B29+B25</f>
        <v/>
      </c>
      <c r="C39" s="242" t="n">
        <v>32</v>
      </c>
      <c r="D39" s="178" t="n">
        <v>36</v>
      </c>
      <c r="E39" s="182">
        <f>B39-C39</f>
        <v/>
      </c>
      <c r="F39" s="243">
        <f>E39/C39</f>
        <v/>
      </c>
      <c r="G39" s="152" t="n">
        <v>293239907.56</v>
      </c>
      <c r="J39" s="182">
        <f>J29+J25</f>
        <v/>
      </c>
      <c r="K39" s="242">
        <f>(J39-G39)/10000</f>
        <v/>
      </c>
      <c r="L39" s="244">
        <f>J50-K50</f>
        <v/>
      </c>
      <c r="M39" s="245">
        <f>K39*10000/G39</f>
        <v/>
      </c>
      <c r="N39" s="245" t="n"/>
      <c r="O39" s="245" t="n"/>
      <c r="P39" s="242">
        <f>P29+P25</f>
        <v/>
      </c>
      <c r="Q39" s="242" t="n">
        <v>1</v>
      </c>
      <c r="R39" s="242" t="n"/>
      <c r="S39" s="182">
        <f>S29+S25</f>
        <v/>
      </c>
      <c r="T39" s="246" t="n">
        <v>2902.137999</v>
      </c>
      <c r="U39" s="246" t="n">
        <v>2806.15447</v>
      </c>
      <c r="V39" s="245" t="n"/>
      <c r="W39" s="247" t="n"/>
      <c r="X39" s="247" t="n"/>
      <c r="Y39" s="234" t="n"/>
    </row>
    <row r="40" ht="18.75" customHeight="1" s="154">
      <c r="A40" s="177" t="inlineStr">
        <is>
          <t>颍东</t>
        </is>
      </c>
      <c r="B40" s="242">
        <f>B28+B22</f>
        <v/>
      </c>
      <c r="C40" s="242" t="n">
        <v>21</v>
      </c>
      <c r="D40" s="178" t="n">
        <v>27</v>
      </c>
      <c r="E40" s="182">
        <f>B40-C40</f>
        <v/>
      </c>
      <c r="F40" s="243">
        <f>E40/C40</f>
        <v/>
      </c>
      <c r="G40" s="152" t="n">
        <v>252897814.21</v>
      </c>
      <c r="J40" s="182">
        <f>J28+J22</f>
        <v/>
      </c>
      <c r="K40" s="242">
        <f>(J40-G40)/10000</f>
        <v/>
      </c>
      <c r="L40" s="244">
        <f>J51-K51</f>
        <v/>
      </c>
      <c r="M40" s="245">
        <f>K40*10000/G40</f>
        <v/>
      </c>
      <c r="N40" s="245" t="n"/>
      <c r="O40" s="245" t="n"/>
      <c r="P40" s="242">
        <f>P28+P22</f>
        <v/>
      </c>
      <c r="Q40" s="242" t="n">
        <v>2</v>
      </c>
      <c r="R40" s="242" t="n"/>
      <c r="S40" s="182">
        <f>S28+S22</f>
        <v/>
      </c>
      <c r="T40" s="246" t="n">
        <v>5676.247847</v>
      </c>
      <c r="U40" s="246" t="n">
        <v>5760.053357</v>
      </c>
      <c r="V40" s="245" t="n"/>
      <c r="W40" s="247" t="n"/>
      <c r="X40" s="247" t="n"/>
      <c r="Y40" s="234" t="n"/>
    </row>
    <row r="41" ht="18.75" customHeight="1" s="154">
      <c r="A41" s="177" t="inlineStr">
        <is>
          <t>界首</t>
        </is>
      </c>
      <c r="B41" s="242">
        <f>B23</f>
        <v/>
      </c>
      <c r="C41" s="242" t="n">
        <v>17</v>
      </c>
      <c r="D41" s="178" t="n">
        <v>23</v>
      </c>
      <c r="E41" s="182">
        <f>B41-C41</f>
        <v/>
      </c>
      <c r="F41" s="243">
        <f>E41/C41</f>
        <v/>
      </c>
      <c r="G41" s="152" t="n">
        <v>156579680.61</v>
      </c>
      <c r="J41" s="182">
        <f>J23</f>
        <v/>
      </c>
      <c r="K41" s="242">
        <f>(J41-G41)/10000</f>
        <v/>
      </c>
      <c r="L41" s="244">
        <f>J52-K52</f>
        <v/>
      </c>
      <c r="M41" s="245">
        <f>K41*10000/G41</f>
        <v/>
      </c>
      <c r="N41" s="245" t="n"/>
      <c r="O41" s="245" t="n"/>
      <c r="P41" s="242">
        <f>P23</f>
        <v/>
      </c>
      <c r="Q41" s="242" t="n">
        <v>0</v>
      </c>
      <c r="R41" s="242" t="n"/>
      <c r="S41" s="182">
        <f>S23</f>
        <v/>
      </c>
      <c r="T41" s="246" t="n">
        <v>0</v>
      </c>
      <c r="U41" s="246" t="n">
        <v>0</v>
      </c>
      <c r="V41" s="245" t="n"/>
      <c r="W41" s="247" t="n"/>
      <c r="X41" s="247" t="n"/>
      <c r="Y41" s="234" t="n"/>
    </row>
    <row r="42" ht="18.75" customHeight="1" s="154">
      <c r="A42" s="177" t="inlineStr">
        <is>
          <t>临泉</t>
        </is>
      </c>
      <c r="B42" s="242">
        <f>B24</f>
        <v/>
      </c>
      <c r="C42" s="242" t="n">
        <v>17</v>
      </c>
      <c r="D42" s="178" t="n">
        <v>24</v>
      </c>
      <c r="E42" s="182">
        <f>B42-C42</f>
        <v/>
      </c>
      <c r="F42" s="243">
        <f>E42/C42</f>
        <v/>
      </c>
      <c r="G42" s="152" t="n">
        <v>163920573.15</v>
      </c>
      <c r="J42" s="182">
        <f>J24</f>
        <v/>
      </c>
      <c r="K42" s="242">
        <f>(J42-G42)/10000</f>
        <v/>
      </c>
      <c r="L42" s="244">
        <f>J53-K53</f>
        <v/>
      </c>
      <c r="M42" s="245">
        <f>K42*10000/G42</f>
        <v/>
      </c>
      <c r="N42" s="245" t="n"/>
      <c r="O42" s="245" t="n"/>
      <c r="P42" s="242">
        <f>P24</f>
        <v/>
      </c>
      <c r="Q42" s="242" t="n">
        <v>0</v>
      </c>
      <c r="R42" s="242" t="n"/>
      <c r="S42" s="182">
        <f>S24</f>
        <v/>
      </c>
      <c r="T42" s="246" t="n">
        <v>0</v>
      </c>
      <c r="U42" s="246" t="n">
        <v>0</v>
      </c>
      <c r="V42" s="245" t="n"/>
      <c r="W42" s="247" t="n"/>
      <c r="X42" s="247" t="n"/>
      <c r="Y42" s="234" t="n"/>
    </row>
    <row r="43" ht="18.75" customHeight="1" s="154">
      <c r="A43" s="177" t="inlineStr">
        <is>
          <t>阜南</t>
        </is>
      </c>
      <c r="B43" s="242">
        <f>B21</f>
        <v/>
      </c>
      <c r="C43" s="242" t="n">
        <v>16</v>
      </c>
      <c r="D43" s="178" t="n">
        <v>22</v>
      </c>
      <c r="E43" s="182">
        <f>B43-C43</f>
        <v/>
      </c>
      <c r="F43" s="243">
        <f>E43/C43</f>
        <v/>
      </c>
      <c r="G43" s="152" t="n">
        <v>150691616.3</v>
      </c>
      <c r="J43" s="182">
        <f>J21</f>
        <v/>
      </c>
      <c r="K43" s="242">
        <f>(J43-G43)/10000</f>
        <v/>
      </c>
      <c r="L43" s="244">
        <f>J54-K54</f>
        <v/>
      </c>
      <c r="M43" s="245">
        <f>K43*10000/G43</f>
        <v/>
      </c>
      <c r="N43" s="245" t="n"/>
      <c r="O43" s="245" t="n"/>
      <c r="P43" s="242">
        <f>P21</f>
        <v/>
      </c>
      <c r="Q43" s="242" t="n">
        <v>1</v>
      </c>
      <c r="R43" s="242" t="n"/>
      <c r="S43" s="182">
        <f>S21</f>
        <v/>
      </c>
      <c r="T43" s="246" t="n">
        <v>2700.342615</v>
      </c>
      <c r="U43" s="246" t="n">
        <v>2490.747417</v>
      </c>
      <c r="V43" s="245" t="n"/>
      <c r="W43" s="247" t="n"/>
      <c r="X43" s="247" t="n"/>
      <c r="Y43" s="234" t="n"/>
    </row>
    <row r="44" ht="18.75" customHeight="1" s="154">
      <c r="A44" s="177" t="inlineStr">
        <is>
          <t>颍上</t>
        </is>
      </c>
      <c r="B44" s="242">
        <f>B30</f>
        <v/>
      </c>
      <c r="C44" s="242" t="n">
        <v>9</v>
      </c>
      <c r="D44" s="178" t="n">
        <v>13</v>
      </c>
      <c r="E44" s="182">
        <f>B44-C44</f>
        <v/>
      </c>
      <c r="F44" s="243">
        <f>E44/C44</f>
        <v/>
      </c>
      <c r="G44" s="152" t="n">
        <v>66501368.66</v>
      </c>
      <c r="J44" s="182">
        <f>J30</f>
        <v/>
      </c>
      <c r="K44" s="242">
        <f>(J44-G44)/10000</f>
        <v/>
      </c>
      <c r="L44" s="244">
        <f>J55-K55</f>
        <v/>
      </c>
      <c r="M44" s="245">
        <f>K44*10000/G44</f>
        <v/>
      </c>
      <c r="N44" s="245" t="n"/>
      <c r="O44" s="245" t="n"/>
      <c r="P44" s="242">
        <f>P30</f>
        <v/>
      </c>
      <c r="Q44" s="242" t="n">
        <v>0</v>
      </c>
      <c r="R44" s="242" t="n"/>
      <c r="S44" s="182">
        <f>S30</f>
        <v/>
      </c>
      <c r="T44" s="246" t="n">
        <v>0</v>
      </c>
      <c r="U44" s="246" t="n">
        <v>2400.737373</v>
      </c>
      <c r="V44" s="245" t="n"/>
      <c r="W44" s="247" t="n"/>
      <c r="X44" s="247" t="n"/>
      <c r="Y44" s="234" t="n"/>
    </row>
    <row r="45" ht="18.75" customHeight="1" s="154">
      <c r="A45" s="177" t="inlineStr">
        <is>
          <t>太和</t>
        </is>
      </c>
      <c r="B45" s="242">
        <f>B26</f>
        <v/>
      </c>
      <c r="C45" s="242" t="n">
        <v>86</v>
      </c>
      <c r="D45" s="178" t="n">
        <v>101</v>
      </c>
      <c r="E45" s="182">
        <f>B45-C45</f>
        <v/>
      </c>
      <c r="F45" s="243">
        <f>E45/C45</f>
        <v/>
      </c>
      <c r="G45" s="152" t="n">
        <v>1004111722.26</v>
      </c>
      <c r="J45" s="182">
        <f>J26</f>
        <v/>
      </c>
      <c r="K45" s="242">
        <f>(J45-G45)/10000</f>
        <v/>
      </c>
      <c r="L45" s="244">
        <f>J56-K56</f>
        <v/>
      </c>
      <c r="M45" s="245">
        <f>K45*10000/G45</f>
        <v/>
      </c>
      <c r="N45" s="245" t="n"/>
      <c r="O45" s="245" t="n"/>
      <c r="P45" s="242">
        <f>P26</f>
        <v/>
      </c>
      <c r="Q45" s="242" t="n">
        <v>13</v>
      </c>
      <c r="R45" s="242" t="n"/>
      <c r="S45" s="182">
        <f>S26</f>
        <v/>
      </c>
      <c r="T45" s="246" t="n">
        <v>34259.633932</v>
      </c>
      <c r="U45" s="246" t="n">
        <v>32419.026633</v>
      </c>
      <c r="V45" s="245" t="n"/>
      <c r="W45" s="247" t="n"/>
      <c r="X45" s="247" t="n"/>
      <c r="Y45" s="234" t="n"/>
    </row>
    <row r="46" ht="16" customHeight="1" s="154">
      <c r="A46" s="157" t="inlineStr">
        <is>
          <t>合计</t>
        </is>
      </c>
      <c r="B46" s="242">
        <f>B33</f>
        <v/>
      </c>
      <c r="C46" s="242" t="n">
        <v>230</v>
      </c>
      <c r="D46" s="178" t="n">
        <v>279</v>
      </c>
      <c r="E46" s="157">
        <f>B46-C46</f>
        <v/>
      </c>
      <c r="F46" s="243">
        <f>E46/C46</f>
        <v/>
      </c>
      <c r="G46" s="152" t="n">
        <v>2388688067.69</v>
      </c>
      <c r="J46" s="182">
        <f>J33</f>
        <v/>
      </c>
      <c r="K46" s="242">
        <f>(J46-G46)/10000</f>
        <v/>
      </c>
      <c r="L46" s="244">
        <f>J57-K57</f>
        <v/>
      </c>
      <c r="M46" s="245">
        <f>K46*10000/G46</f>
        <v/>
      </c>
      <c r="N46" s="245" t="n"/>
      <c r="O46" s="245" t="n"/>
      <c r="P46" s="242">
        <f>P33</f>
        <v/>
      </c>
      <c r="Q46" s="242" t="n">
        <v>20</v>
      </c>
      <c r="R46" s="242" t="n"/>
      <c r="S46" s="182">
        <f>S33</f>
        <v/>
      </c>
      <c r="T46" s="246" t="n">
        <v>52542.32211</v>
      </c>
      <c r="U46" s="246" t="n">
        <v>50888.051539</v>
      </c>
      <c r="V46" s="245" t="n"/>
      <c r="W46" s="247" t="n"/>
      <c r="X46" s="247" t="n"/>
    </row>
    <row r="47" ht="18.75" customHeight="1" s="154">
      <c r="S47" s="182" t="n"/>
    </row>
    <row r="48" ht="18.75" customHeight="1" s="154">
      <c r="E48" s="232" t="inlineStr">
        <is>
          <t>比上月</t>
        </is>
      </c>
      <c r="J48" s="248" t="inlineStr">
        <is>
          <t>本月日均资产</t>
        </is>
      </c>
      <c r="K48" s="249" t="inlineStr">
        <is>
          <t>上月末日均资产</t>
        </is>
      </c>
      <c r="L48" s="249" t="inlineStr">
        <is>
          <t>上月末日均存款余额</t>
        </is>
      </c>
      <c r="P48" s="152" t="inlineStr">
        <is>
          <t>2025年11月末客户数</t>
        </is>
      </c>
    </row>
    <row r="49" ht="18.75" customHeight="1" s="154">
      <c r="A49" s="177" t="inlineStr">
        <is>
          <t>颍州</t>
        </is>
      </c>
      <c r="E49" s="152">
        <f>B38-D38</f>
        <v/>
      </c>
      <c r="J49" s="152">
        <f>J38/10000</f>
        <v/>
      </c>
      <c r="K49" s="180" t="n">
        <v>30897.640662</v>
      </c>
      <c r="L49" s="152" t="n">
        <v>17487.256393</v>
      </c>
      <c r="P49" s="152" t="n">
        <v>31</v>
      </c>
    </row>
    <row r="50" ht="18.75" customHeight="1" s="154">
      <c r="A50" s="177" t="inlineStr">
        <is>
          <t>颍泉</t>
        </is>
      </c>
      <c r="E50" s="152">
        <f>B39-D39</f>
        <v/>
      </c>
      <c r="J50" s="152">
        <f>J39/10000</f>
        <v/>
      </c>
      <c r="K50" s="180" t="n">
        <v>34910.451484</v>
      </c>
      <c r="L50" s="152" t="n">
        <v>24180.660943</v>
      </c>
      <c r="P50" s="152" t="n">
        <v>26</v>
      </c>
    </row>
    <row r="51" ht="18.75" customHeight="1" s="154">
      <c r="A51" s="177" t="inlineStr">
        <is>
          <t>颍东</t>
        </is>
      </c>
      <c r="E51" s="152">
        <f>B40-D40</f>
        <v/>
      </c>
      <c r="J51" s="152">
        <f>J40/10000</f>
        <v/>
      </c>
      <c r="K51" s="180" t="n">
        <v>29518.767853</v>
      </c>
      <c r="L51" s="152" t="n">
        <v>16978.14692</v>
      </c>
      <c r="P51" s="152" t="n">
        <v>19</v>
      </c>
    </row>
    <row r="52" ht="18.75" customHeight="1" s="154">
      <c r="A52" s="177" t="inlineStr">
        <is>
          <t>界首</t>
        </is>
      </c>
      <c r="E52" s="152">
        <f>B41-D41</f>
        <v/>
      </c>
      <c r="J52" s="152">
        <f>J41/10000</f>
        <v/>
      </c>
      <c r="K52" s="180" t="n">
        <v>18687.843191</v>
      </c>
      <c r="L52" s="152" t="n">
        <v>13881.064261</v>
      </c>
      <c r="P52" s="152" t="n">
        <v>18</v>
      </c>
    </row>
    <row r="53" ht="18.75" customHeight="1" s="154">
      <c r="A53" s="177" t="inlineStr">
        <is>
          <t>临泉</t>
        </is>
      </c>
      <c r="E53" s="152">
        <f>B42-D42</f>
        <v/>
      </c>
      <c r="J53" s="152">
        <f>J42/10000</f>
        <v/>
      </c>
      <c r="K53" s="180" t="n">
        <v>22333.480321</v>
      </c>
      <c r="L53" s="152" t="n">
        <v>15975.799486</v>
      </c>
      <c r="P53" s="152" t="n">
        <v>18</v>
      </c>
    </row>
    <row r="54" ht="18.75" customHeight="1" s="154">
      <c r="A54" s="177" t="inlineStr">
        <is>
          <t>阜南</t>
        </is>
      </c>
      <c r="E54" s="152">
        <f>B43-D43</f>
        <v/>
      </c>
      <c r="J54" s="152">
        <f>J43/10000</f>
        <v/>
      </c>
      <c r="K54" s="180" t="n">
        <v>19287.652587</v>
      </c>
      <c r="L54" s="152" t="n">
        <v>12913.248554</v>
      </c>
      <c r="P54" s="152" t="n">
        <v>18</v>
      </c>
    </row>
    <row r="55" ht="18.75" customHeight="1" s="154">
      <c r="A55" s="177" t="inlineStr">
        <is>
          <t>颍上</t>
        </is>
      </c>
      <c r="E55" s="152">
        <f>B44-D44</f>
        <v/>
      </c>
      <c r="J55" s="152">
        <f>J44/10000</f>
        <v/>
      </c>
      <c r="K55" s="180" t="n">
        <v>9729.032977000001</v>
      </c>
      <c r="L55" s="152" t="n">
        <v>6261.070387</v>
      </c>
      <c r="P55" s="152" t="n">
        <v>8</v>
      </c>
    </row>
    <row r="56" ht="18.75" customHeight="1" s="154">
      <c r="A56" s="177" t="inlineStr">
        <is>
          <t>太和</t>
        </is>
      </c>
      <c r="E56" s="152">
        <f>B45-D45</f>
        <v/>
      </c>
      <c r="J56" s="152">
        <f>J45/10000</f>
        <v/>
      </c>
      <c r="K56" s="180" t="n">
        <v>109312.424304</v>
      </c>
      <c r="L56" s="152" t="n">
        <v>82756.98108699999</v>
      </c>
      <c r="P56" s="152" t="n">
        <v>88</v>
      </c>
    </row>
    <row r="57" ht="18.75" customHeight="1" s="154">
      <c r="A57" s="157" t="inlineStr">
        <is>
          <t>合计</t>
        </is>
      </c>
      <c r="E57" s="152">
        <f>B46-D46</f>
        <v/>
      </c>
      <c r="J57" s="152">
        <f>J46/10000</f>
        <v/>
      </c>
      <c r="K57" s="180" t="n">
        <v>274677.293379</v>
      </c>
      <c r="L57" s="152" t="n">
        <v>190434.228031</v>
      </c>
      <c r="P57" s="152" t="n">
        <v>226</v>
      </c>
    </row>
  </sheetData>
  <mergeCells count="24">
    <mergeCell ref="AA4:AA6"/>
    <mergeCell ref="K36:K37"/>
    <mergeCell ref="B4:O4"/>
    <mergeCell ref="V4:V5"/>
    <mergeCell ref="A36:A37"/>
    <mergeCell ref="A4:A6"/>
    <mergeCell ref="A3:AA3"/>
    <mergeCell ref="A2:AA2"/>
    <mergeCell ref="J36:J37"/>
    <mergeCell ref="P36:T36"/>
    <mergeCell ref="N5:O5"/>
    <mergeCell ref="J5:M5"/>
    <mergeCell ref="M36:M37"/>
    <mergeCell ref="S5:U5"/>
    <mergeCell ref="P5:R5"/>
    <mergeCell ref="X4:X5"/>
    <mergeCell ref="Z4:Z5"/>
    <mergeCell ref="P4:U4"/>
    <mergeCell ref="AB17:AC17"/>
    <mergeCell ref="Y4:Y5"/>
    <mergeCell ref="B5:I5"/>
    <mergeCell ref="B36:F36"/>
    <mergeCell ref="AB18:AC18"/>
    <mergeCell ref="G36:G37"/>
  </mergeCells>
  <conditionalFormatting sqref="C7:C14">
    <cfRule type="expression" rank="0" priority="2" equalAverage="0" aboveAverage="0" dxfId="0" text="" percent="0" bottom="0">
      <formula>LARGE($C$7:$C$14,MIN(2,COUNT($C$7:$C$14)))&lt;=C7</formula>
    </cfRule>
    <cfRule type="expression" rank="0" priority="3" equalAverage="0" aboveAverage="0" dxfId="1" text="" percent="0" bottom="0">
      <formula>SMALL($C$7:$C$14,MIN(2,COUNT($C$7:$C$14)))&gt;=C7</formula>
    </cfRule>
  </conditionalFormatting>
  <conditionalFormatting sqref="E7:E15">
    <cfRule type="expression" rank="0" priority="4" equalAverage="0" aboveAverage="0" dxfId="1" text="" percent="0" bottom="0">
      <formula>SMALL($E$7:$E$15,MIN(2,COUNT($E$7:$E$15)))&gt;=E7</formula>
    </cfRule>
    <cfRule type="expression" rank="0" priority="5" equalAverage="0" aboveAverage="0" dxfId="0" text="" percent="0" bottom="0">
      <formula>LARGE($E$7:$E$15,MIN(2,COUNT($E$7:$E$15)))&lt;=E7</formula>
    </cfRule>
  </conditionalFormatting>
  <conditionalFormatting sqref="E38:E45">
    <cfRule type="expression" rank="0" priority="6" equalAverage="0" aboveAverage="0" dxfId="4" text="" percent="0" bottom="0">
      <formula>SMALL($E$38:$E$45,MIN(2,COUNT($E$38:$E$45)))&gt;=E38</formula>
    </cfRule>
    <cfRule type="expression" rank="0" priority="7" equalAverage="0" aboveAverage="0" dxfId="5" text="" percent="0" bottom="0">
      <formula>LARGE($E$38:$E$45,MIN(2,COUNT($E$38:$E$45)))&lt;=E38</formula>
    </cfRule>
  </conditionalFormatting>
  <conditionalFormatting sqref="F38:F46">
    <cfRule type="expression" rank="0" priority="8" equalAverage="0" aboveAverage="0" dxfId="1" text="" percent="0" bottom="0">
      <formula>SMALL($F$38:$F$46,MIN(2,COUNT($F$38:$F$46)))&gt;=F38</formula>
    </cfRule>
    <cfRule type="expression" rank="0" priority="9" equalAverage="0" aboveAverage="0" dxfId="0" text="" percent="0" bottom="0">
      <formula>LARGE($F$38:$F$46,MIN(2,COUNT($F$38:$F$46)))&lt;=F38</formula>
    </cfRule>
  </conditionalFormatting>
  <conditionalFormatting sqref="I7:I14">
    <cfRule type="expression" rank="0" priority="10" equalAverage="0" aboveAverage="0" dxfId="1" text="" percent="0" bottom="0">
      <formula>SMALL($I$7:$I$14,MIN(2,COUNT($I$7:$I$14)))&gt;=I7</formula>
    </cfRule>
    <cfRule type="expression" rank="0" priority="11" equalAverage="0" aboveAverage="0" dxfId="0" text="" percent="0" bottom="0">
      <formula>LARGE($I$7:$I$14,MIN(2,COUNT($I$7:$I$14)))&lt;=I7</formula>
    </cfRule>
  </conditionalFormatting>
  <conditionalFormatting sqref="K7:K14">
    <cfRule type="expression" rank="0" priority="12" equalAverage="0" aboveAverage="0" dxfId="1" text="" percent="0" bottom="0">
      <formula>SMALL($K$7:$K$14,MIN(2,COUNT($K$7:$K$14)))&gt;=K7</formula>
    </cfRule>
    <cfRule type="expression" rank="0" priority="13" equalAverage="0" aboveAverage="0" dxfId="0" text="" percent="0" bottom="0">
      <formula>LARGE($K$7:$K$14,MIN(2,COUNT($K$7:$K$14)))&lt;=K7</formula>
    </cfRule>
  </conditionalFormatting>
  <conditionalFormatting sqref="M7:M14">
    <cfRule type="expression" rank="0" priority="14" equalAverage="0" aboveAverage="0" dxfId="1" text="" percent="0" bottom="0">
      <formula>SMALL($M$7:$M$14,MIN(2,COUNT($M$7:$M$14)))&gt;=M7</formula>
    </cfRule>
    <cfRule type="expression" rank="0" priority="15" equalAverage="0" aboveAverage="0" dxfId="0" text="" percent="0" bottom="0">
      <formula>LARGE($M$7:$M$14,MIN(2,COUNT($M$7:$M$14)))&lt;=M7</formula>
    </cfRule>
  </conditionalFormatting>
  <conditionalFormatting sqref="N7:N14">
    <cfRule type="expression" rank="0" priority="16" equalAverage="0" aboveAverage="0" dxfId="1" text="" percent="0" bottom="0">
      <formula>SMALL($N$7:$N$14,MIN(2,COUNT($N$7:$N$14)))&gt;=N7</formula>
    </cfRule>
    <cfRule type="expression" rank="0" priority="17" equalAverage="0" aboveAverage="0" dxfId="0" text="" percent="0" bottom="0">
      <formula>LARGE($N$7:$N$14,MIN(2,COUNT($N$7:$N$14)))&lt;=N7</formula>
    </cfRule>
  </conditionalFormatting>
  <conditionalFormatting sqref="P7:P14">
    <cfRule type="expression" rank="0" priority="18" equalAverage="0" aboveAverage="0" dxfId="1" text="" percent="0" bottom="0">
      <formula>SMALL($P$7:$P$14,MIN(2,COUNT($P$7:$P$14)))&gt;=P7</formula>
    </cfRule>
    <cfRule type="expression" rank="0" priority="19" equalAverage="0" aboveAverage="0" dxfId="0" text="" percent="0" bottom="0">
      <formula>LARGE($P$7:$P$14,MIN(2,COUNT($P$7:$P$14)))&lt;=P7</formula>
    </cfRule>
  </conditionalFormatting>
  <conditionalFormatting sqref="Q7:Q14">
    <cfRule type="expression" rank="0" priority="20" equalAverage="0" aboveAverage="0" dxfId="0" text="" percent="0" bottom="0">
      <formula>LARGE($Q$7:$Q$14,MIN(2,COUNT($Q$7:$Q$14)))&lt;=Q7</formula>
    </cfRule>
    <cfRule type="expression" rank="0" priority="21" equalAverage="0" aboveAverage="0" dxfId="1" text="" percent="0" bottom="0">
      <formula>SMALL($Q$7:$Q$14,MIN(2,COUNT($Q$7:$Q$14)))&gt;=Q7</formula>
    </cfRule>
  </conditionalFormatting>
  <conditionalFormatting sqref="R7:R14">
    <cfRule type="expression" rank="0" priority="22" equalAverage="0" aboveAverage="0" dxfId="0" text="" percent="0" bottom="0">
      <formula>LARGE($R$7:$R$14,MIN(2,COUNT($R$7:$R$14)))&lt;=R7</formula>
    </cfRule>
    <cfRule type="expression" rank="0" priority="23" equalAverage="0" aboveAverage="0" dxfId="1" text="" percent="0" bottom="0">
      <formula>SMALL($R$7:$R$14,MIN(2,COUNT($R$7:$R$14)))&gt;=R7</formula>
    </cfRule>
  </conditionalFormatting>
  <conditionalFormatting sqref="S7:S14">
    <cfRule type="expression" rank="0" priority="24" equalAverage="0" aboveAverage="0" dxfId="1" text="" percent="0" bottom="0">
      <formula>SMALL($S$7:$S$14,MIN(2,COUNT($S$7:$S$14)))&gt;=S7</formula>
    </cfRule>
    <cfRule type="expression" rank="0" priority="25" equalAverage="0" aboveAverage="0" dxfId="0" text="" percent="0" bottom="0">
      <formula>LARGE($S$7:$S$14,MIN(2,COUNT($S$7:$S$14)))&lt;=S7</formula>
    </cfRule>
  </conditionalFormatting>
  <conditionalFormatting sqref="T7:T14">
    <cfRule type="expression" rank="0" priority="26" equalAverage="0" aboveAverage="0" dxfId="1" text="" percent="0" bottom="0">
      <formula>SMALL($T$7:$T$14,MIN(2,COUNT($T$7:$T$14)))&gt;=T7</formula>
    </cfRule>
    <cfRule type="expression" rank="0" priority="27" equalAverage="0" aboveAverage="0" dxfId="0" text="" percent="0" bottom="0">
      <formula>LARGE($T$7:$T$14,MIN(2,COUNT($T$7:$T$14)))&lt;=T7</formula>
    </cfRule>
  </conditionalFormatting>
  <conditionalFormatting sqref="U7:U14">
    <cfRule type="expression" rank="0" priority="28" equalAverage="0" aboveAverage="0" dxfId="1" text="" percent="0" bottom="0">
      <formula>SMALL($U$7:$U$14,MIN(2,COUNT($U$7:$U$14)))&gt;=U7</formula>
    </cfRule>
    <cfRule type="expression" rank="0" priority="29" equalAverage="0" aboveAverage="0" dxfId="0" text="" percent="0" bottom="0">
      <formula>LARGE($U$7:$U$14,MIN(2,COUNT($U$7:$U$14)))&lt;=U7</formula>
    </cfRule>
  </conditionalFormatting>
  <conditionalFormatting sqref="V7:V14">
    <cfRule type="expression" rank="0" priority="30" equalAverage="0" aboveAverage="0" dxfId="1" text="" percent="0" bottom="0">
      <formula>SMALL($V$7:$V$14,MIN(2,COUNT($V$7:$V$14)))&gt;=V7</formula>
    </cfRule>
    <cfRule type="expression" rank="0" priority="31" equalAverage="0" aboveAverage="0" dxfId="0" text="" percent="0" bottom="0">
      <formula>LARGE($V$7:$V$14,MIN(2,COUNT($V$7:$V$14)))&lt;=V7</formula>
    </cfRule>
  </conditionalFormatting>
  <conditionalFormatting sqref="X7:X14">
    <cfRule type="expression" rank="0" priority="32" equalAverage="0" aboveAverage="0" dxfId="1" text="" percent="0" bottom="0">
      <formula>SMALL($X$7:$X$14,MIN(2,COUNT($X$7:$X$14)))&gt;=X7</formula>
    </cfRule>
    <cfRule type="expression" rank="0" priority="33" equalAverage="0" aboveAverage="0" dxfId="0" text="" percent="0" bottom="0">
      <formula>LARGE($X$7:$X$14,MIN(2,COUNT($X$7:$X$14)))&lt;=X7</formula>
    </cfRule>
  </conditionalFormatting>
  <conditionalFormatting sqref="Y7:Y14">
    <cfRule type="expression" rank="0" priority="34" equalAverage="0" aboveAverage="0" dxfId="1" text="" percent="0" bottom="0">
      <formula>SMALL($Y$7:$Y$14,MIN(2,COUNT($Y$7:$Y$14)))&gt;=Y7</formula>
    </cfRule>
    <cfRule type="expression" rank="0" priority="35" equalAverage="0" aboveAverage="0" dxfId="0" text="" percent="0" bottom="0">
      <formula>LARGE($Y$7:$Y$14,MIN(2,COUNT($Y$7:$Y$14)))&lt;=Y7</formula>
    </cfRule>
  </conditionalFormatting>
  <conditionalFormatting sqref="Z7:Z14">
    <cfRule type="expression" rank="0" priority="36" equalAverage="0" aboveAverage="0" dxfId="1" text="" percent="0" bottom="0">
      <formula>SMALL($Z$7:$Z$14,MIN(2,COUNT($Z$7:$Z$14)))&gt;=Z7</formula>
    </cfRule>
    <cfRule type="expression" rank="0" priority="37" equalAverage="0" aboveAverage="0" dxfId="0" text="" percent="0" bottom="0">
      <formula>LARGE($Z$7:$Z$14,MIN(2,COUNT($Z$7:$Z$14)))&lt;=Z7</formula>
    </cfRule>
  </conditionalFormatting>
  <printOptions horizontalCentered="1" verticalCentered="0" headings="0" gridLines="0" gridLinesSet="1"/>
  <pageMargins left="0" right="0" top="1" bottom="1" header="0.511811023622047" footer="0.511811023622047"/>
  <pageSetup orientation="landscape" paperSize="9" scale="5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2:AB57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D4" activeCellId="0" sqref="AD4"/>
    </sheetView>
  </sheetViews>
  <sheetFormatPr baseColWidth="8" defaultColWidth="8.99609375" defaultRowHeight="15.75" zeroHeight="0" outlineLevelRow="0"/>
  <cols>
    <col width="8.369999999999999" customWidth="1" style="152" min="1" max="1"/>
    <col width="8.69" customWidth="1" style="152" min="2" max="2"/>
    <col width="7.62" customWidth="1" style="152" min="3" max="3"/>
    <col hidden="1" width="10.69" customWidth="1" style="152" min="4" max="4"/>
    <col hidden="1" width="9.869999999999999" customWidth="1" style="152" min="5" max="5"/>
    <col hidden="1" width="13.27" customWidth="1" style="152" min="6" max="6"/>
    <col hidden="1" width="11.12" customWidth="1" style="152" min="7" max="7"/>
    <col width="13.27" customWidth="1" style="152" min="8" max="8"/>
    <col width="11.87" customWidth="1" style="152" min="9" max="10"/>
    <col hidden="1" width="10.69" customWidth="1" style="152" min="11" max="11"/>
    <col width="10.69" customWidth="1" style="152" min="12" max="12"/>
    <col width="10.93" customWidth="1" style="152" min="13" max="13"/>
    <col width="9.83" customWidth="1" style="152" min="14" max="14"/>
    <col width="14.16" customWidth="1" style="152" min="15" max="15"/>
    <col hidden="1" width="10.78" customWidth="1" style="152" min="16" max="17"/>
    <col width="15.62" customWidth="1" style="152" min="18" max="18"/>
    <col hidden="1" width="13.74" customWidth="1" style="152" min="19" max="19"/>
    <col hidden="1" width="10.69" customWidth="1" style="152" min="20" max="20"/>
    <col width="11.24" customWidth="1" style="152" min="21" max="21"/>
    <col hidden="1" width="7.64" customWidth="1" style="153" min="22" max="22"/>
    <col width="11.39" customWidth="1" style="153" min="23" max="23"/>
    <col width="11.66" customWidth="1" style="153" min="24" max="24"/>
    <col width="11.52" customWidth="1" style="153" min="25" max="25"/>
    <col width="7.5" customWidth="1" style="152" min="26" max="26"/>
  </cols>
  <sheetData>
    <row r="1" ht="211" customHeight="1" s="154"/>
    <row r="2" ht="37" customHeight="1" s="154">
      <c r="A2" s="155" t="inlineStr">
        <is>
          <t>阜阳分行私人银行核心指标情况表（2026年3月）</t>
        </is>
      </c>
    </row>
    <row r="3" ht="21" customHeight="1" s="154">
      <c r="A3" s="156" t="inlineStr">
        <is>
          <t>单位：万元、户</t>
        </is>
      </c>
    </row>
    <row r="4" ht="37" customHeight="1" s="154">
      <c r="A4" s="157" t="inlineStr">
        <is>
          <t>支行</t>
        </is>
      </c>
      <c r="B4" s="158" t="inlineStr">
        <is>
          <t>当月全量日均600万元以上客户与资产</t>
        </is>
      </c>
      <c r="C4" s="159" t="n"/>
      <c r="D4" s="159" t="n"/>
      <c r="E4" s="159" t="n"/>
      <c r="F4" s="159" t="n"/>
      <c r="G4" s="159" t="n"/>
      <c r="H4" s="159" t="n"/>
      <c r="I4" s="159" t="n"/>
      <c r="J4" s="159" t="n"/>
      <c r="K4" s="159" t="n"/>
      <c r="L4" s="159" t="n"/>
      <c r="M4" s="159" t="n"/>
      <c r="N4" s="160" t="n"/>
      <c r="O4" s="161" t="inlineStr">
        <is>
          <t>其中：域外月日均资产600万元以上客户</t>
        </is>
      </c>
      <c r="P4" s="159" t="n"/>
      <c r="Q4" s="159" t="n"/>
      <c r="R4" s="159" t="n"/>
      <c r="S4" s="159" t="n"/>
      <c r="T4" s="160" t="n"/>
      <c r="U4" s="162" t="inlineStr">
        <is>
          <t>私银遴选产品规模</t>
        </is>
      </c>
      <c r="W4" s="163" t="inlineStr">
        <is>
          <t xml:space="preserve">私银快贷     </t>
        </is>
      </c>
      <c r="X4" s="164" t="inlineStr">
        <is>
          <t>当年家族信托</t>
        </is>
      </c>
      <c r="Y4" s="165" t="inlineStr">
        <is>
          <t>当年私银专属期交保险销售</t>
        </is>
      </c>
      <c r="Z4" s="157" t="inlineStr">
        <is>
          <t>支行</t>
        </is>
      </c>
    </row>
    <row r="5" ht="35" customHeight="1" s="154">
      <c r="A5" s="166" t="n"/>
      <c r="B5" s="167" t="inlineStr">
        <is>
          <t>客户（户）</t>
        </is>
      </c>
      <c r="C5" s="159" t="n"/>
      <c r="D5" s="159" t="n"/>
      <c r="E5" s="159" t="n"/>
      <c r="F5" s="159" t="n"/>
      <c r="G5" s="159" t="n"/>
      <c r="H5" s="159" t="n"/>
      <c r="I5" s="167" t="inlineStr">
        <is>
          <t>达标客户资产（万元）</t>
        </is>
      </c>
      <c r="J5" s="159" t="n"/>
      <c r="K5" s="159" t="n"/>
      <c r="L5" s="159" t="n"/>
      <c r="M5" s="168" t="inlineStr">
        <is>
          <t>其中：日均存款</t>
        </is>
      </c>
      <c r="N5" s="160" t="n"/>
      <c r="O5" s="169" t="inlineStr">
        <is>
          <t>客户（户）</t>
        </is>
      </c>
      <c r="P5" s="159" t="n"/>
      <c r="Q5" s="160" t="n"/>
      <c r="R5" s="169" t="inlineStr">
        <is>
          <t>资产（万元）</t>
        </is>
      </c>
      <c r="S5" s="159" t="n"/>
      <c r="T5" s="160" t="n"/>
      <c r="U5" s="170" t="n"/>
      <c r="V5" s="171" t="n"/>
      <c r="W5" s="172" t="n"/>
      <c r="X5" s="170" t="n"/>
      <c r="Y5" s="170" t="n"/>
      <c r="Z5" s="166" t="n"/>
    </row>
    <row r="6" ht="39" customHeight="1" s="154">
      <c r="A6" s="173" t="n"/>
      <c r="B6" s="174" t="inlineStr">
        <is>
          <t>客户数</t>
        </is>
      </c>
      <c r="C6" s="174" t="inlineStr">
        <is>
          <t>比上年</t>
        </is>
      </c>
      <c r="D6" s="174" t="inlineStr">
        <is>
          <t>本年增幅</t>
        </is>
      </c>
      <c r="E6" s="175" t="inlineStr">
        <is>
          <t>旺季营销目标</t>
        </is>
      </c>
      <c r="F6" s="175" t="inlineStr">
        <is>
          <t>旺季营销目标完成率</t>
        </is>
      </c>
      <c r="G6" s="175" t="inlineStr">
        <is>
          <t>其中：签约客户</t>
        </is>
      </c>
      <c r="H6" s="175" t="inlineStr">
        <is>
          <t>签约率</t>
        </is>
      </c>
      <c r="I6" s="174" t="inlineStr">
        <is>
          <t>资产</t>
        </is>
      </c>
      <c r="J6" s="174" t="inlineStr">
        <is>
          <t>比上年</t>
        </is>
      </c>
      <c r="K6" s="174" t="inlineStr">
        <is>
          <t>比上月</t>
        </is>
      </c>
      <c r="L6" s="174" t="inlineStr">
        <is>
          <t>本年增幅</t>
        </is>
      </c>
      <c r="M6" s="175" t="inlineStr">
        <is>
          <t>余额</t>
        </is>
      </c>
      <c r="N6" s="175" t="inlineStr">
        <is>
          <t>较上月</t>
        </is>
      </c>
      <c r="O6" s="176" t="inlineStr">
        <is>
          <t>异地客户数</t>
        </is>
      </c>
      <c r="P6" s="176" t="inlineStr">
        <is>
          <t>本地客户数</t>
        </is>
      </c>
      <c r="Q6" s="176" t="inlineStr">
        <is>
          <t>本地客户比上年</t>
        </is>
      </c>
      <c r="R6" s="176" t="inlineStr">
        <is>
          <t>异地客户资产</t>
        </is>
      </c>
      <c r="S6" s="176" t="inlineStr">
        <is>
          <t>本地客户资产</t>
        </is>
      </c>
      <c r="T6" s="176" t="inlineStr">
        <is>
          <t>本地资产比上年</t>
        </is>
      </c>
      <c r="U6" s="176" t="inlineStr">
        <is>
          <t>余额</t>
        </is>
      </c>
      <c r="V6" s="176" t="inlineStr">
        <is>
          <t>拓户</t>
        </is>
      </c>
      <c r="W6" s="176" t="inlineStr">
        <is>
          <t>贷款金额</t>
        </is>
      </c>
      <c r="X6" s="176" t="inlineStr">
        <is>
          <t>已出单</t>
        </is>
      </c>
      <c r="Y6" s="176" t="inlineStr">
        <is>
          <t>已销售</t>
        </is>
      </c>
      <c r="Z6" s="173" t="n"/>
    </row>
    <row r="7" ht="25" customHeight="1" s="154">
      <c r="A7" s="177" t="inlineStr">
        <is>
          <t>颍州</t>
        </is>
      </c>
      <c r="B7" s="178">
        <f>B38</f>
        <v/>
      </c>
      <c r="C7" s="178">
        <f>D38</f>
        <v/>
      </c>
      <c r="D7" s="179">
        <f>E38</f>
        <v/>
      </c>
      <c r="E7" s="178" t="n">
        <v>7</v>
      </c>
      <c r="F7" s="179">
        <f>(B7-O49)/E7</f>
        <v/>
      </c>
      <c r="G7" s="178">
        <f>G20+G31+G27</f>
        <v/>
      </c>
      <c r="H7" s="179">
        <f>G7/B7</f>
        <v/>
      </c>
      <c r="I7" s="180">
        <f>I49</f>
        <v/>
      </c>
      <c r="J7" s="181">
        <f>J38</f>
        <v/>
      </c>
      <c r="K7" s="181">
        <f>K38</f>
        <v/>
      </c>
      <c r="L7" s="179">
        <f>L38</f>
        <v/>
      </c>
      <c r="M7" s="181">
        <f>(J20+J27+J31)/10000</f>
        <v/>
      </c>
      <c r="N7" s="180">
        <f>M7-K49</f>
        <v/>
      </c>
      <c r="O7" s="182">
        <f>O20+O31+O27</f>
        <v/>
      </c>
      <c r="P7" s="182">
        <f>B7-O7</f>
        <v/>
      </c>
      <c r="Q7" s="182">
        <f>P7-C38</f>
        <v/>
      </c>
      <c r="R7" s="183">
        <f>R20+R31+R27</f>
        <v/>
      </c>
      <c r="S7" s="183">
        <f>I7-R7</f>
        <v/>
      </c>
      <c r="T7" s="183">
        <f>S7-F38/10000</f>
        <v/>
      </c>
      <c r="U7" s="182" t="n">
        <v>1099</v>
      </c>
      <c r="V7" s="184" t="n">
        <v>4</v>
      </c>
      <c r="W7" s="182" t="n">
        <v>840</v>
      </c>
      <c r="X7" s="182" t="n">
        <v>0</v>
      </c>
      <c r="Y7" s="182" t="n">
        <v>100</v>
      </c>
      <c r="Z7" s="177" t="inlineStr">
        <is>
          <t>颍州</t>
        </is>
      </c>
    </row>
    <row r="8" ht="25" customHeight="1" s="154">
      <c r="A8" s="177" t="inlineStr">
        <is>
          <t>颍泉</t>
        </is>
      </c>
      <c r="B8" s="178">
        <f>B39</f>
        <v/>
      </c>
      <c r="C8" s="178">
        <f>D39</f>
        <v/>
      </c>
      <c r="D8" s="179">
        <f>E39</f>
        <v/>
      </c>
      <c r="E8" s="178" t="n">
        <v>7</v>
      </c>
      <c r="F8" s="179">
        <f>(B8-O50)/E8</f>
        <v/>
      </c>
      <c r="G8" s="178">
        <f>G29+G25</f>
        <v/>
      </c>
      <c r="H8" s="179">
        <f>G8/B8</f>
        <v/>
      </c>
      <c r="I8" s="180">
        <f>I50</f>
        <v/>
      </c>
      <c r="J8" s="181">
        <f>J39</f>
        <v/>
      </c>
      <c r="K8" s="181">
        <f>K39</f>
        <v/>
      </c>
      <c r="L8" s="179">
        <f>L39</f>
        <v/>
      </c>
      <c r="M8" s="181">
        <f>(J29+J25)/10000</f>
        <v/>
      </c>
      <c r="N8" s="180">
        <f>M8-K50</f>
        <v/>
      </c>
      <c r="O8" s="182">
        <f>O29+O25</f>
        <v/>
      </c>
      <c r="P8" s="182">
        <f>B8-O8</f>
        <v/>
      </c>
      <c r="Q8" s="182">
        <f>P8-C39</f>
        <v/>
      </c>
      <c r="R8" s="183">
        <f>R29+R25</f>
        <v/>
      </c>
      <c r="S8" s="183">
        <f>I8-R8</f>
        <v/>
      </c>
      <c r="T8" s="183">
        <f>S8-F39/10000</f>
        <v/>
      </c>
      <c r="U8" s="182" t="n">
        <v>1701</v>
      </c>
      <c r="V8" s="184" t="n">
        <v>2</v>
      </c>
      <c r="W8" s="182" t="n">
        <v>600</v>
      </c>
      <c r="X8" s="182" t="n">
        <v>500</v>
      </c>
      <c r="Y8" s="182" t="n">
        <v>0</v>
      </c>
      <c r="Z8" s="177" t="inlineStr">
        <is>
          <t>颍泉</t>
        </is>
      </c>
    </row>
    <row r="9" ht="25" customHeight="1" s="154">
      <c r="A9" s="177" t="inlineStr">
        <is>
          <t>颍东</t>
        </is>
      </c>
      <c r="B9" s="178">
        <f>B40</f>
        <v/>
      </c>
      <c r="C9" s="178">
        <f>D40</f>
        <v/>
      </c>
      <c r="D9" s="179">
        <f>E40</f>
        <v/>
      </c>
      <c r="E9" s="178" t="n">
        <v>6</v>
      </c>
      <c r="F9" s="179">
        <f>(B9-O51)/E9</f>
        <v/>
      </c>
      <c r="G9" s="178">
        <f>G28+G22</f>
        <v/>
      </c>
      <c r="H9" s="179">
        <f>G9/B9</f>
        <v/>
      </c>
      <c r="I9" s="180">
        <f>I51</f>
        <v/>
      </c>
      <c r="J9" s="181">
        <f>J40</f>
        <v/>
      </c>
      <c r="K9" s="181">
        <f>K40</f>
        <v/>
      </c>
      <c r="L9" s="179">
        <f>L40</f>
        <v/>
      </c>
      <c r="M9" s="181">
        <f>(J28+J22)/10000</f>
        <v/>
      </c>
      <c r="N9" s="180">
        <f>M9-K51</f>
        <v/>
      </c>
      <c r="O9" s="185">
        <f>O28+O22</f>
        <v/>
      </c>
      <c r="P9" s="182">
        <f>B9-O9</f>
        <v/>
      </c>
      <c r="Q9" s="182">
        <f>P9-C40</f>
        <v/>
      </c>
      <c r="R9" s="183">
        <f>R28+R22</f>
        <v/>
      </c>
      <c r="S9" s="183">
        <f>I9-R9</f>
        <v/>
      </c>
      <c r="T9" s="183">
        <f>S9-F40/10000</f>
        <v/>
      </c>
      <c r="U9" s="182" t="n">
        <v>1786</v>
      </c>
      <c r="V9" s="184" t="n">
        <v>0</v>
      </c>
      <c r="W9" s="182" t="n">
        <v>0</v>
      </c>
      <c r="X9" s="182" t="n">
        <v>0</v>
      </c>
      <c r="Y9" s="182" t="n">
        <v>0</v>
      </c>
      <c r="Z9" s="177" t="inlineStr">
        <is>
          <t>颍东</t>
        </is>
      </c>
    </row>
    <row r="10" ht="25" customHeight="1" s="154">
      <c r="A10" s="177" t="inlineStr">
        <is>
          <t>界首</t>
        </is>
      </c>
      <c r="B10" s="178">
        <f>B41</f>
        <v/>
      </c>
      <c r="C10" s="178">
        <f>D41</f>
        <v/>
      </c>
      <c r="D10" s="179">
        <f>E41</f>
        <v/>
      </c>
      <c r="E10" s="178" t="n">
        <v>5</v>
      </c>
      <c r="F10" s="179">
        <f>(B10-O52)/E10</f>
        <v/>
      </c>
      <c r="G10" s="178">
        <f>G23</f>
        <v/>
      </c>
      <c r="H10" s="179">
        <f>G10/B10</f>
        <v/>
      </c>
      <c r="I10" s="180">
        <f>I52</f>
        <v/>
      </c>
      <c r="J10" s="181">
        <f>J41</f>
        <v/>
      </c>
      <c r="K10" s="181">
        <f>K41</f>
        <v/>
      </c>
      <c r="L10" s="179">
        <f>L41</f>
        <v/>
      </c>
      <c r="M10" s="181">
        <f>J23/10000</f>
        <v/>
      </c>
      <c r="N10" s="180">
        <f>M10-K52</f>
        <v/>
      </c>
      <c r="O10" s="182">
        <f>O23</f>
        <v/>
      </c>
      <c r="P10" s="182">
        <f>B10-O10</f>
        <v/>
      </c>
      <c r="Q10" s="182">
        <f>P10-C41</f>
        <v/>
      </c>
      <c r="R10" s="183">
        <f>R23</f>
        <v/>
      </c>
      <c r="S10" s="183">
        <f>I10-R10</f>
        <v/>
      </c>
      <c r="T10" s="183">
        <f>S10-F41/10000</f>
        <v/>
      </c>
      <c r="U10" s="182">
        <f>Y23</f>
        <v/>
      </c>
      <c r="V10" s="184" t="n">
        <v>1</v>
      </c>
      <c r="W10" s="182" t="n">
        <v>310</v>
      </c>
      <c r="X10" s="182" t="n">
        <v>0</v>
      </c>
      <c r="Y10" s="182" t="n">
        <v>0</v>
      </c>
      <c r="Z10" s="177" t="inlineStr">
        <is>
          <t>界首</t>
        </is>
      </c>
    </row>
    <row r="11" ht="25" customHeight="1" s="154">
      <c r="A11" s="177" t="inlineStr">
        <is>
          <t>临泉</t>
        </is>
      </c>
      <c r="B11" s="178">
        <f>B42</f>
        <v/>
      </c>
      <c r="C11" s="178">
        <f>D42</f>
        <v/>
      </c>
      <c r="D11" s="179">
        <f>E42</f>
        <v/>
      </c>
      <c r="E11" s="178" t="n">
        <v>5</v>
      </c>
      <c r="F11" s="179">
        <f>(B11-O53)/E11</f>
        <v/>
      </c>
      <c r="G11" s="178">
        <f>G24</f>
        <v/>
      </c>
      <c r="H11" s="179">
        <f>G11/B11</f>
        <v/>
      </c>
      <c r="I11" s="180">
        <f>I53</f>
        <v/>
      </c>
      <c r="J11" s="181">
        <f>J42</f>
        <v/>
      </c>
      <c r="K11" s="181">
        <f>K42</f>
        <v/>
      </c>
      <c r="L11" s="179">
        <f>L42</f>
        <v/>
      </c>
      <c r="M11" s="181">
        <f>J24/10000</f>
        <v/>
      </c>
      <c r="N11" s="180">
        <f>M11-K53</f>
        <v/>
      </c>
      <c r="O11" s="182">
        <f>O24</f>
        <v/>
      </c>
      <c r="P11" s="182">
        <f>B11-O11</f>
        <v/>
      </c>
      <c r="Q11" s="182">
        <f>P11-C42</f>
        <v/>
      </c>
      <c r="R11" s="183">
        <f>R24</f>
        <v/>
      </c>
      <c r="S11" s="183">
        <f>I11-R11</f>
        <v/>
      </c>
      <c r="T11" s="183">
        <f>S11-F42/10000</f>
        <v/>
      </c>
      <c r="U11" s="182" t="n">
        <v>404</v>
      </c>
      <c r="V11" s="184" t="n">
        <v>4</v>
      </c>
      <c r="W11" s="182" t="n">
        <v>1200</v>
      </c>
      <c r="X11" s="182" t="n">
        <v>0</v>
      </c>
      <c r="Y11" s="182" t="n">
        <v>0</v>
      </c>
      <c r="Z11" s="177" t="inlineStr">
        <is>
          <t>临泉</t>
        </is>
      </c>
    </row>
    <row r="12" ht="25" customHeight="1" s="154">
      <c r="A12" s="177" t="inlineStr">
        <is>
          <t>阜南</t>
        </is>
      </c>
      <c r="B12" s="178">
        <f>B43</f>
        <v/>
      </c>
      <c r="C12" s="178">
        <f>D43</f>
        <v/>
      </c>
      <c r="D12" s="179">
        <f>E43</f>
        <v/>
      </c>
      <c r="E12" s="178" t="n">
        <v>5</v>
      </c>
      <c r="F12" s="179">
        <f>(B12-O54)/E12</f>
        <v/>
      </c>
      <c r="G12" s="178">
        <f>G21</f>
        <v/>
      </c>
      <c r="H12" s="179">
        <f>G12/B12</f>
        <v/>
      </c>
      <c r="I12" s="180">
        <f>I54</f>
        <v/>
      </c>
      <c r="J12" s="181">
        <f>J43</f>
        <v/>
      </c>
      <c r="K12" s="181">
        <f>K43</f>
        <v/>
      </c>
      <c r="L12" s="179">
        <f>L43</f>
        <v/>
      </c>
      <c r="M12" s="181">
        <f>J21/10000</f>
        <v/>
      </c>
      <c r="N12" s="180">
        <f>M12-K54</f>
        <v/>
      </c>
      <c r="O12" s="182">
        <f>O21</f>
        <v/>
      </c>
      <c r="P12" s="182">
        <f>B12-O12</f>
        <v/>
      </c>
      <c r="Q12" s="182">
        <f>P12-C43</f>
        <v/>
      </c>
      <c r="R12" s="183">
        <f>R21</f>
        <v/>
      </c>
      <c r="S12" s="183">
        <f>I12-R12</f>
        <v/>
      </c>
      <c r="T12" s="183">
        <f>S12-F43/10000</f>
        <v/>
      </c>
      <c r="U12" s="182">
        <f>Y21</f>
        <v/>
      </c>
      <c r="V12" s="184" t="n">
        <v>1</v>
      </c>
      <c r="W12" s="182" t="n">
        <v>350</v>
      </c>
      <c r="X12" s="182" t="n">
        <v>600</v>
      </c>
      <c r="Y12" s="182" t="n">
        <v>100</v>
      </c>
      <c r="Z12" s="177" t="inlineStr">
        <is>
          <t>阜南</t>
        </is>
      </c>
    </row>
    <row r="13" ht="25" customHeight="1" s="154">
      <c r="A13" s="177" t="inlineStr">
        <is>
          <t>颍上</t>
        </is>
      </c>
      <c r="B13" s="178">
        <f>B44</f>
        <v/>
      </c>
      <c r="C13" s="178">
        <f>D44</f>
        <v/>
      </c>
      <c r="D13" s="179">
        <f>E44</f>
        <v/>
      </c>
      <c r="E13" s="178" t="n">
        <v>6</v>
      </c>
      <c r="F13" s="179">
        <f>(B13-O55)/E13</f>
        <v/>
      </c>
      <c r="G13" s="178">
        <f>G30</f>
        <v/>
      </c>
      <c r="H13" s="179">
        <f>G13/B13</f>
        <v/>
      </c>
      <c r="I13" s="180">
        <f>I55</f>
        <v/>
      </c>
      <c r="J13" s="181">
        <f>J44</f>
        <v/>
      </c>
      <c r="K13" s="181">
        <f>K44</f>
        <v/>
      </c>
      <c r="L13" s="179">
        <f>L44</f>
        <v/>
      </c>
      <c r="M13" s="181">
        <f>J30/10000</f>
        <v/>
      </c>
      <c r="N13" s="180">
        <f>M13-K55</f>
        <v/>
      </c>
      <c r="O13" s="182">
        <f>O30</f>
        <v/>
      </c>
      <c r="P13" s="182">
        <f>B13-O13</f>
        <v/>
      </c>
      <c r="Q13" s="182">
        <f>P13-C44</f>
        <v/>
      </c>
      <c r="R13" s="183">
        <f>R30</f>
        <v/>
      </c>
      <c r="S13" s="183">
        <f>I13-R13</f>
        <v/>
      </c>
      <c r="T13" s="183">
        <f>S13-F44/10000</f>
        <v/>
      </c>
      <c r="U13" s="182" t="n">
        <v>202</v>
      </c>
      <c r="V13" s="184" t="n">
        <v>2</v>
      </c>
      <c r="W13" s="182" t="n">
        <v>0</v>
      </c>
      <c r="X13" s="182" t="n">
        <v>0</v>
      </c>
      <c r="Y13" s="182" t="n">
        <v>0</v>
      </c>
      <c r="Z13" s="177" t="inlineStr">
        <is>
          <t>颍上</t>
        </is>
      </c>
    </row>
    <row r="14" ht="25" customHeight="1" s="154">
      <c r="A14" s="177" t="inlineStr">
        <is>
          <t>太和</t>
        </is>
      </c>
      <c r="B14" s="178">
        <f>B45</f>
        <v/>
      </c>
      <c r="C14" s="178">
        <f>D45</f>
        <v/>
      </c>
      <c r="D14" s="179">
        <f>E45</f>
        <v/>
      </c>
      <c r="E14" s="178" t="n">
        <v>14</v>
      </c>
      <c r="F14" s="179">
        <f>(B14-O56)/E14</f>
        <v/>
      </c>
      <c r="G14" s="178">
        <f>G26</f>
        <v/>
      </c>
      <c r="H14" s="179">
        <f>G14/B14</f>
        <v/>
      </c>
      <c r="I14" s="180">
        <f>I56</f>
        <v/>
      </c>
      <c r="J14" s="181">
        <f>J45</f>
        <v/>
      </c>
      <c r="K14" s="181">
        <f>K45</f>
        <v/>
      </c>
      <c r="L14" s="179">
        <f>L45</f>
        <v/>
      </c>
      <c r="M14" s="181">
        <f>J26/10000</f>
        <v/>
      </c>
      <c r="N14" s="180">
        <f>M14-K56</f>
        <v/>
      </c>
      <c r="O14" s="182">
        <f>O26</f>
        <v/>
      </c>
      <c r="P14" s="182">
        <f>B14-O14</f>
        <v/>
      </c>
      <c r="Q14" s="182">
        <f>P14-C45</f>
        <v/>
      </c>
      <c r="R14" s="183">
        <f>R26</f>
        <v/>
      </c>
      <c r="S14" s="183">
        <f>I14-R14</f>
        <v/>
      </c>
      <c r="T14" s="183">
        <f>S14-F45/10000</f>
        <v/>
      </c>
      <c r="U14" s="182" t="n">
        <v>801</v>
      </c>
      <c r="V14" s="184" t="n">
        <v>1</v>
      </c>
      <c r="W14" s="182" t="n">
        <v>500</v>
      </c>
      <c r="X14" s="182" t="n">
        <v>2800</v>
      </c>
      <c r="Y14" s="182" t="n">
        <v>120</v>
      </c>
      <c r="Z14" s="177" t="inlineStr">
        <is>
          <t>太和</t>
        </is>
      </c>
    </row>
    <row r="15" ht="25" customHeight="1" s="154">
      <c r="A15" s="157" t="inlineStr">
        <is>
          <t>合计</t>
        </is>
      </c>
      <c r="B15" s="178">
        <f>B46</f>
        <v/>
      </c>
      <c r="C15" s="178">
        <f>D46</f>
        <v/>
      </c>
      <c r="D15" s="179">
        <f>E46</f>
        <v/>
      </c>
      <c r="E15" s="178" t="n">
        <v>55</v>
      </c>
      <c r="F15" s="179">
        <f>(B15-O57)/E15</f>
        <v/>
      </c>
      <c r="G15" s="178" t="n">
        <v>191</v>
      </c>
      <c r="H15" s="179">
        <f>G15/B15</f>
        <v/>
      </c>
      <c r="I15" s="180">
        <f>I57</f>
        <v/>
      </c>
      <c r="J15" s="180">
        <f>J46</f>
        <v/>
      </c>
      <c r="K15" s="180">
        <f>K46</f>
        <v/>
      </c>
      <c r="L15" s="179">
        <f>L46</f>
        <v/>
      </c>
      <c r="M15" s="181">
        <f>J33/10000</f>
        <v/>
      </c>
      <c r="N15" s="180">
        <f>M15-K57</f>
        <v/>
      </c>
      <c r="O15" s="157">
        <f>SUM(O7:O14)</f>
        <v/>
      </c>
      <c r="P15" s="157">
        <f>B15-O15</f>
        <v/>
      </c>
      <c r="Q15" s="157">
        <f>P15-C46</f>
        <v/>
      </c>
      <c r="R15" s="183">
        <f>SUM(R7:R14)</f>
        <v/>
      </c>
      <c r="S15" s="183">
        <f>I15-R15</f>
        <v/>
      </c>
      <c r="T15" s="183">
        <f>S15-F46/10000</f>
        <v/>
      </c>
      <c r="U15" s="186">
        <f>SUM(U7:U14)</f>
        <v/>
      </c>
      <c r="V15" s="184">
        <f>SUM(V7:V14)</f>
        <v/>
      </c>
      <c r="W15" s="184">
        <f>SUM(W7:W14)</f>
        <v/>
      </c>
      <c r="X15" s="184">
        <f>SUM(X7:X14)</f>
        <v/>
      </c>
      <c r="Y15" s="184">
        <f>SUM(Y7:Y14)</f>
        <v/>
      </c>
      <c r="Z15" s="157" t="inlineStr">
        <is>
          <t>合计</t>
        </is>
      </c>
    </row>
    <row r="16" hidden="1" ht="29" customHeight="1" s="154">
      <c r="A16" s="187" t="inlineStr">
        <is>
          <t>备注：因部分客户无归属支行，故合计数大于支行总计</t>
        </is>
      </c>
      <c r="B16" s="188" t="n"/>
      <c r="C16" s="188" t="n"/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8" t="n"/>
      <c r="O16" s="188" t="n"/>
      <c r="P16" s="188" t="n"/>
      <c r="Q16" s="188" t="n"/>
      <c r="R16" s="188" t="n"/>
      <c r="S16" s="188" t="n"/>
      <c r="T16" s="188" t="n"/>
      <c r="U16" s="188" t="n"/>
      <c r="V16" s="188" t="n"/>
      <c r="W16" s="188" t="n"/>
      <c r="X16" s="188" t="n"/>
      <c r="Y16" s="188" t="n"/>
      <c r="Z16" s="189" t="n"/>
    </row>
    <row r="17" ht="20.25" customHeight="1" s="154">
      <c r="AA17" s="190" t="n"/>
    </row>
    <row r="18" ht="20.25" customHeight="1" s="154">
      <c r="A18" s="191" t="n"/>
      <c r="B18" s="192" t="inlineStr">
        <is>
          <t>值</t>
        </is>
      </c>
      <c r="C18" s="191" t="n"/>
      <c r="D18" s="191" t="n"/>
      <c r="E18" s="191" t="n"/>
      <c r="F18" s="191" t="n"/>
      <c r="G18" s="191" t="n"/>
      <c r="H18" s="191" t="n"/>
      <c r="I18" s="191" t="n"/>
      <c r="O18" s="193" t="n"/>
      <c r="P18" s="194" t="inlineStr">
        <is>
          <t>值</t>
        </is>
      </c>
      <c r="Q18" s="194" t="n"/>
      <c r="R18" s="195" t="n"/>
      <c r="W18" s="153" t="n"/>
      <c r="X18" s="153" t="n"/>
      <c r="Y18" s="153" t="n"/>
      <c r="Z18" s="152" t="n"/>
      <c r="AA18" s="190" t="n"/>
    </row>
    <row r="19" ht="47.25" customHeight="1" s="154">
      <c r="A19" s="192" t="inlineStr">
        <is>
          <t>归属支行名称</t>
        </is>
      </c>
      <c r="B19" s="196" t="inlineStr">
        <is>
          <t>汇总</t>
        </is>
      </c>
      <c r="C19" s="197" t="n"/>
      <c r="D19" s="198" t="n"/>
      <c r="E19" s="176" t="n"/>
      <c r="F19" s="198" t="n"/>
      <c r="G19" s="199" t="inlineStr">
        <is>
          <t>签约客户数</t>
        </is>
      </c>
      <c r="H19" s="199" t="n"/>
      <c r="I19" s="200" t="inlineStr">
        <is>
          <t>求和项:本月月日均资产</t>
        </is>
      </c>
      <c r="J19" s="200" t="inlineStr">
        <is>
          <t>求和项:本月月日均存款</t>
        </is>
      </c>
      <c r="K19" s="249" t="n"/>
      <c r="L19" s="194" t="inlineStr">
        <is>
          <t>归属支行名称</t>
        </is>
      </c>
      <c r="M19" s="194" t="n"/>
      <c r="N19" s="194" t="n"/>
      <c r="O19" s="194" t="inlineStr">
        <is>
          <t>异地客户:计数</t>
        </is>
      </c>
      <c r="P19" s="202" t="inlineStr">
        <is>
          <t>求和项:本月月日均资产</t>
        </is>
      </c>
      <c r="Q19" s="202" t="n"/>
      <c r="R19" s="202" t="inlineStr">
        <is>
          <t>求和项:本月月日均资产</t>
        </is>
      </c>
      <c r="S19" s="249" t="n"/>
      <c r="V19" s="203" t="inlineStr">
        <is>
          <t>遴选产品归属支行</t>
        </is>
      </c>
      <c r="W19" s="153" t="n"/>
      <c r="X19" s="203" t="inlineStr">
        <is>
          <t>遴选产品余额</t>
        </is>
      </c>
      <c r="Y19" s="204" t="inlineStr">
        <is>
          <t>换算万元</t>
        </is>
      </c>
      <c r="Z19" s="205" t="n"/>
      <c r="AA19" s="206" t="n"/>
      <c r="AB19" s="207" t="n"/>
    </row>
    <row r="20" ht="15.75" customHeight="1" s="154">
      <c r="A20" s="208" t="inlineStr">
        <is>
          <t>阜阳城建支行</t>
        </is>
      </c>
      <c r="B20" s="208" t="n">
        <v>5</v>
      </c>
      <c r="C20" s="197" t="n"/>
      <c r="D20" s="210" t="n"/>
      <c r="F20" s="198" t="n"/>
      <c r="G20" s="212" t="n">
        <v>1</v>
      </c>
      <c r="H20" s="211" t="n"/>
      <c r="I20" s="250" t="n">
        <v>37250395.96</v>
      </c>
      <c r="J20" s="250" t="n">
        <v>24082359.49</v>
      </c>
      <c r="K20" s="249" t="n"/>
      <c r="L20" s="192" t="inlineStr">
        <is>
          <t>阜阳城建支行</t>
        </is>
      </c>
      <c r="M20" s="191" t="n"/>
      <c r="N20" s="191" t="n"/>
      <c r="O20" s="193" t="n">
        <v>0</v>
      </c>
      <c r="P20" s="212" t="n"/>
      <c r="Q20" s="213" t="n"/>
      <c r="R20" s="205">
        <f>P20/10000</f>
        <v/>
      </c>
      <c r="S20" s="152" t="n"/>
      <c r="V20" s="192" t="inlineStr">
        <is>
          <t>阜阳城建支行</t>
        </is>
      </c>
      <c r="W20" s="153" t="n"/>
      <c r="X20" s="209" t="n">
        <v>825027</v>
      </c>
      <c r="Y20" s="214">
        <f>X20/10000</f>
        <v/>
      </c>
      <c r="Z20" s="215" t="n"/>
      <c r="AA20" s="205" t="n">
        <v>10000</v>
      </c>
      <c r="AB20" s="205" t="n"/>
    </row>
    <row r="21" ht="15.75" customHeight="1" s="154">
      <c r="A21" s="216" t="inlineStr">
        <is>
          <t>阜阳阜南支行营业室</t>
        </is>
      </c>
      <c r="B21" s="216" t="n">
        <v>22</v>
      </c>
      <c r="C21" s="197" t="n"/>
      <c r="D21" s="217" t="n"/>
      <c r="F21" s="198" t="n"/>
      <c r="G21" s="222" t="n">
        <v>11</v>
      </c>
      <c r="H21" s="199" t="n"/>
      <c r="I21" s="152" t="n">
        <v>192876525.87</v>
      </c>
      <c r="J21" s="152" t="n">
        <v>129132485.54</v>
      </c>
      <c r="K21" s="249" t="n"/>
      <c r="L21" s="218" t="inlineStr">
        <is>
          <t>阜阳阜南支行营业室</t>
        </is>
      </c>
      <c r="M21" s="209" t="n"/>
      <c r="N21" s="209" t="n"/>
      <c r="O21" s="208" t="n">
        <v>1</v>
      </c>
      <c r="P21" s="250" t="n">
        <v>6797931.73</v>
      </c>
      <c r="Q21" s="212" t="n"/>
      <c r="R21" s="205">
        <f>P21/10000</f>
        <v/>
      </c>
      <c r="S21" s="152" t="n"/>
      <c r="V21" s="218" t="inlineStr">
        <is>
          <t>阜阳阜南支行营业室</t>
        </is>
      </c>
      <c r="W21" s="153" t="n"/>
      <c r="X21" s="153" t="n"/>
      <c r="Y21" s="214">
        <f>X21/10000</f>
        <v/>
      </c>
      <c r="Z21" s="215" t="n"/>
      <c r="AA21" s="205" t="n"/>
      <c r="AB21" s="205" t="n"/>
    </row>
    <row r="22" ht="15.75" customHeight="1" s="154">
      <c r="A22" s="216" t="inlineStr">
        <is>
          <t>阜阳汇通支行</t>
        </is>
      </c>
      <c r="B22" s="216" t="n">
        <v>2</v>
      </c>
      <c r="C22" s="197" t="n"/>
      <c r="D22" s="217" t="n"/>
      <c r="F22" s="198" t="n"/>
      <c r="G22" s="222" t="n">
        <v>1</v>
      </c>
      <c r="H22" s="199" t="n"/>
      <c r="I22" s="152" t="n">
        <v>15954535.19</v>
      </c>
      <c r="J22" s="152" t="n">
        <v>2174305.14</v>
      </c>
      <c r="K22" s="249" t="n"/>
      <c r="L22" s="192" t="inlineStr">
        <is>
          <t>阜阳汇通支行</t>
        </is>
      </c>
      <c r="M22" s="191" t="n"/>
      <c r="N22" s="191" t="n"/>
      <c r="O22" s="219" t="n"/>
      <c r="P22" s="219" t="n"/>
      <c r="Q22" s="220" t="n"/>
      <c r="R22" s="205">
        <f>P22/10000</f>
        <v/>
      </c>
      <c r="S22" s="152" t="n"/>
      <c r="V22" s="192" t="inlineStr">
        <is>
          <t>阜阳汇通支行</t>
        </is>
      </c>
      <c r="W22" s="153" t="n"/>
      <c r="X22" s="153" t="n"/>
      <c r="Y22" s="214">
        <f>X22/10000</f>
        <v/>
      </c>
      <c r="Z22" s="221" t="n"/>
      <c r="AA22" s="215" t="n"/>
      <c r="AB22" s="215" t="n"/>
    </row>
    <row r="23" ht="15.75" customHeight="1" s="154">
      <c r="A23" s="216" t="inlineStr">
        <is>
          <t>阜阳界首支行营业室</t>
        </is>
      </c>
      <c r="B23" s="216" t="n">
        <v>23</v>
      </c>
      <c r="C23" s="197" t="n"/>
      <c r="D23" s="217" t="n"/>
      <c r="F23" s="198" t="n"/>
      <c r="G23" s="222" t="n">
        <v>14</v>
      </c>
      <c r="H23" s="211" t="n"/>
      <c r="I23" s="152" t="n">
        <v>186878431.91</v>
      </c>
      <c r="J23" s="152" t="n">
        <v>138810642.61</v>
      </c>
      <c r="K23" s="249" t="n"/>
      <c r="L23" s="192" t="inlineStr">
        <is>
          <t>阜阳界首支行营业室</t>
        </is>
      </c>
      <c r="M23" s="191" t="n"/>
      <c r="N23" s="191" t="n"/>
      <c r="O23" s="216" t="n">
        <v>3</v>
      </c>
      <c r="P23" s="152" t="n">
        <v>19135221.34</v>
      </c>
      <c r="Q23" s="222" t="n"/>
      <c r="R23" s="205">
        <f>P23/10000</f>
        <v/>
      </c>
      <c r="S23" s="152" t="n"/>
      <c r="V23" s="192" t="inlineStr">
        <is>
          <t>阜阳界首支行营业室</t>
        </is>
      </c>
      <c r="W23" s="153" t="n"/>
      <c r="X23" s="153" t="n"/>
      <c r="Y23" s="214">
        <f>X23/10000</f>
        <v/>
      </c>
      <c r="Z23" s="215" t="n"/>
      <c r="AA23" s="215" t="n"/>
      <c r="AB23" s="215" t="n"/>
    </row>
    <row r="24" ht="15.75" customHeight="1" s="154">
      <c r="A24" s="216" t="inlineStr">
        <is>
          <t>阜阳临泉支行营业室</t>
        </is>
      </c>
      <c r="B24" s="216" t="n">
        <v>24</v>
      </c>
      <c r="C24" s="197" t="n"/>
      <c r="D24" s="217" t="n"/>
      <c r="F24" s="198" t="n"/>
      <c r="G24" s="222" t="n">
        <v>17</v>
      </c>
      <c r="H24" s="199" t="n"/>
      <c r="I24" s="152" t="n">
        <v>223334803.21</v>
      </c>
      <c r="J24" s="152" t="n">
        <v>159757994.86</v>
      </c>
      <c r="K24" s="249" t="n"/>
      <c r="L24" s="218" t="inlineStr">
        <is>
          <t>阜阳临泉支行营业室</t>
        </is>
      </c>
      <c r="M24" s="209" t="n"/>
      <c r="N24" s="209" t="n"/>
      <c r="O24" s="216" t="n">
        <v>4</v>
      </c>
      <c r="P24" s="152" t="n">
        <v>29561845.13</v>
      </c>
      <c r="Q24" s="222" t="n"/>
      <c r="R24" s="205">
        <f>P24/10000</f>
        <v/>
      </c>
      <c r="S24" s="152" t="n"/>
      <c r="V24" s="218" t="inlineStr">
        <is>
          <t>阜阳临泉支行营业室</t>
        </is>
      </c>
      <c r="W24" s="153" t="n"/>
      <c r="X24" s="209" t="n">
        <v>4017008</v>
      </c>
      <c r="Y24" s="214">
        <f>X24/10000</f>
        <v/>
      </c>
      <c r="Z24" s="215" t="n"/>
      <c r="AA24" s="215" t="n"/>
      <c r="AB24" s="215" t="n"/>
    </row>
    <row r="25" ht="15.75" customHeight="1" s="154">
      <c r="A25" s="216" t="inlineStr">
        <is>
          <t>阜阳牡丹支行</t>
        </is>
      </c>
      <c r="B25" s="216" t="n">
        <v>5</v>
      </c>
      <c r="C25" s="197" t="n"/>
      <c r="D25" s="217" t="n"/>
      <c r="F25" s="198" t="n"/>
      <c r="G25" s="222" t="n">
        <v>4</v>
      </c>
      <c r="H25" s="199" t="n"/>
      <c r="I25" s="152" t="n">
        <v>44420026.19</v>
      </c>
      <c r="J25" s="152" t="n">
        <v>39413884.38</v>
      </c>
      <c r="K25" s="249" t="n"/>
      <c r="L25" s="192" t="inlineStr">
        <is>
          <t>阜阳牡丹支行</t>
        </is>
      </c>
      <c r="M25" s="191" t="n"/>
      <c r="N25" s="191" t="n"/>
      <c r="O25" s="216" t="n">
        <v>0</v>
      </c>
      <c r="P25" s="222" t="n"/>
      <c r="Q25" s="222" t="n"/>
      <c r="R25" s="205">
        <f>P25/10000</f>
        <v/>
      </c>
      <c r="S25" s="152" t="n"/>
      <c r="V25" s="192" t="inlineStr">
        <is>
          <t>阜阳牡丹支行</t>
        </is>
      </c>
      <c r="W25" s="153" t="n"/>
      <c r="X25" s="153" t="n"/>
      <c r="Y25" s="214">
        <f>X25/10000</f>
        <v/>
      </c>
      <c r="Z25" s="215" t="n"/>
      <c r="AA25" s="215" t="n"/>
      <c r="AB25" s="215" t="n"/>
    </row>
    <row r="26" ht="15.75" customHeight="1" s="154">
      <c r="A26" s="216" t="inlineStr">
        <is>
          <t>阜阳太和支行营业室</t>
        </is>
      </c>
      <c r="B26" s="216" t="n">
        <v>101</v>
      </c>
      <c r="C26" s="197" t="n"/>
      <c r="D26" s="217" t="n"/>
      <c r="F26" s="198" t="n"/>
      <c r="G26" s="222" t="n">
        <v>78</v>
      </c>
      <c r="H26" s="199" t="n"/>
      <c r="I26" s="152" t="n">
        <v>1093124243.04</v>
      </c>
      <c r="J26" s="152" t="n">
        <v>827569810.87</v>
      </c>
      <c r="K26" s="249" t="n"/>
      <c r="L26" s="192" t="inlineStr">
        <is>
          <t>阜阳太和支行营业室</t>
        </is>
      </c>
      <c r="M26" s="191" t="n"/>
      <c r="N26" s="191" t="n"/>
      <c r="O26" s="216" t="n">
        <v>8</v>
      </c>
      <c r="P26" s="152" t="n">
        <v>52326544.46</v>
      </c>
      <c r="Q26" s="222" t="n"/>
      <c r="R26" s="205">
        <f>P26/10000</f>
        <v/>
      </c>
      <c r="S26" s="152" t="n"/>
      <c r="V26" s="192" t="inlineStr">
        <is>
          <t>阜阳太和支行营业室</t>
        </is>
      </c>
      <c r="W26" s="153" t="n"/>
      <c r="X26" s="153" t="n">
        <v>8000000</v>
      </c>
      <c r="Y26" s="214">
        <f>X26/10000</f>
        <v/>
      </c>
      <c r="Z26" s="215" t="n"/>
      <c r="AA26" s="215" t="n"/>
      <c r="AB26" s="215" t="n"/>
    </row>
    <row r="27" ht="15.75" customHeight="1" s="154">
      <c r="A27" s="216" t="inlineStr">
        <is>
          <t>阜阳文峰支行</t>
        </is>
      </c>
      <c r="B27" s="216" t="n">
        <v>11</v>
      </c>
      <c r="C27" s="197" t="n"/>
      <c r="D27" s="217" t="n"/>
      <c r="F27" s="198" t="n"/>
      <c r="G27" s="222" t="n">
        <v>9</v>
      </c>
      <c r="H27" s="199" t="n"/>
      <c r="I27" s="152" t="n">
        <v>147149537.42</v>
      </c>
      <c r="J27" s="152" t="n">
        <v>89855327.31999999</v>
      </c>
      <c r="K27" s="249" t="n"/>
      <c r="L27" s="192" t="inlineStr">
        <is>
          <t>阜阳文峰支行</t>
        </is>
      </c>
      <c r="M27" s="191" t="n"/>
      <c r="N27" s="191" t="n"/>
      <c r="O27" s="216" t="n"/>
      <c r="P27" s="152" t="n"/>
      <c r="Q27" s="152" t="n"/>
      <c r="R27" s="205">
        <f>P27/10000</f>
        <v/>
      </c>
      <c r="S27" s="152" t="n"/>
      <c r="V27" s="192" t="inlineStr">
        <is>
          <t>阜阳文峰支行</t>
        </is>
      </c>
      <c r="W27" s="153" t="n"/>
      <c r="X27" s="209" t="n">
        <v>3197627</v>
      </c>
      <c r="Y27" s="214">
        <f>X27/10000</f>
        <v/>
      </c>
      <c r="Z27" s="215" t="n"/>
      <c r="AA27" s="215" t="n"/>
      <c r="AB27" s="215" t="n"/>
    </row>
    <row r="28" ht="15.75" customHeight="1" s="154">
      <c r="A28" s="216" t="inlineStr">
        <is>
          <t>阜阳颍东支行营业室</t>
        </is>
      </c>
      <c r="B28" s="216" t="n">
        <v>25</v>
      </c>
      <c r="C28" s="197" t="n"/>
      <c r="D28" s="217" t="n"/>
      <c r="F28" s="198" t="n"/>
      <c r="G28" s="222" t="n">
        <v>17</v>
      </c>
      <c r="H28" s="199" t="n"/>
      <c r="I28" s="152" t="n">
        <v>279233143.34</v>
      </c>
      <c r="J28" s="152" t="n">
        <v>167607164.06</v>
      </c>
      <c r="K28" s="249" t="n"/>
      <c r="L28" s="223" t="inlineStr">
        <is>
          <t>阜阳颍东支行营业室</t>
        </is>
      </c>
      <c r="M28" s="223" t="n"/>
      <c r="N28" s="223" t="n"/>
      <c r="O28" s="216" t="n">
        <v>4</v>
      </c>
      <c r="P28" s="152" t="n">
        <v>25696500.37</v>
      </c>
      <c r="Q28" s="152" t="n"/>
      <c r="R28" s="205">
        <f>P28/10000</f>
        <v/>
      </c>
      <c r="S28" s="249" t="n"/>
      <c r="V28" s="223" t="inlineStr">
        <is>
          <t>阜阳颍东支行营业室</t>
        </is>
      </c>
      <c r="W28" s="153" t="n"/>
      <c r="X28" s="209" t="n">
        <v>18067039</v>
      </c>
      <c r="Y28" s="214">
        <f>X28/10000</f>
        <v/>
      </c>
      <c r="Z28" s="215" t="n"/>
      <c r="AA28" s="215" t="n"/>
      <c r="AB28" s="215" t="n"/>
    </row>
    <row r="29" ht="15.75" customHeight="1" s="154">
      <c r="A29" s="216" t="inlineStr">
        <is>
          <t>阜阳颍泉支行营业室</t>
        </is>
      </c>
      <c r="B29" s="216" t="n">
        <v>31</v>
      </c>
      <c r="C29" s="197" t="n"/>
      <c r="D29" s="217" t="n"/>
      <c r="F29" s="198" t="n"/>
      <c r="G29" s="222" t="n">
        <v>18</v>
      </c>
      <c r="H29" s="199" t="n"/>
      <c r="I29" s="152" t="n">
        <v>304684488.65</v>
      </c>
      <c r="J29" s="152" t="n">
        <v>202392725.05</v>
      </c>
      <c r="K29" s="249" t="n"/>
      <c r="L29" s="192" t="inlineStr">
        <is>
          <t>阜阳颍泉支行营业室</t>
        </is>
      </c>
      <c r="M29" s="191" t="n"/>
      <c r="N29" s="191" t="n"/>
      <c r="O29" s="216" t="n">
        <v>2</v>
      </c>
      <c r="P29" s="152" t="n">
        <v>12481857.62</v>
      </c>
      <c r="Q29" s="222" t="n"/>
      <c r="R29" s="205">
        <f>P29/10000</f>
        <v/>
      </c>
      <c r="S29" s="249" t="n"/>
      <c r="V29" s="192" t="inlineStr">
        <is>
          <t>阜阳颍泉支行营业室</t>
        </is>
      </c>
      <c r="W29" s="153" t="n"/>
      <c r="X29" s="209" t="n">
        <v>17027962</v>
      </c>
      <c r="Y29" s="214">
        <f>X29/10000</f>
        <v/>
      </c>
      <c r="Z29" s="215" t="n"/>
      <c r="AA29" s="215" t="n"/>
      <c r="AB29" s="215" t="n"/>
    </row>
    <row r="30" ht="15.75" customHeight="1" s="154">
      <c r="A30" s="216" t="inlineStr">
        <is>
          <t>阜阳颍上支行营业室</t>
        </is>
      </c>
      <c r="B30" s="216" t="n">
        <v>13</v>
      </c>
      <c r="C30" s="197" t="n"/>
      <c r="D30" s="217" t="n"/>
      <c r="F30" s="198" t="n"/>
      <c r="G30" s="222" t="n">
        <v>11</v>
      </c>
      <c r="H30" s="199" t="n"/>
      <c r="I30" s="152" t="n">
        <v>97290329.77</v>
      </c>
      <c r="J30" s="152" t="n">
        <v>62610703.87</v>
      </c>
      <c r="K30" s="249" t="n"/>
      <c r="L30" s="192" t="inlineStr">
        <is>
          <t>阜阳颍上支行营业室</t>
        </is>
      </c>
      <c r="M30" s="191" t="n"/>
      <c r="N30" s="191" t="n"/>
      <c r="O30" s="216" t="n">
        <v>1</v>
      </c>
      <c r="P30" s="152" t="n">
        <v>7097186.77</v>
      </c>
      <c r="Q30" s="222" t="n"/>
      <c r="R30" s="205">
        <f>P30/10000</f>
        <v/>
      </c>
      <c r="S30" s="249" t="n"/>
      <c r="V30" s="192" t="inlineStr">
        <is>
          <t>阜阳颍上支行营业室</t>
        </is>
      </c>
      <c r="W30" s="153" t="n"/>
      <c r="X30" s="209" t="n">
        <v>2005999</v>
      </c>
      <c r="Y30" s="214">
        <f>X30/10000</f>
        <v/>
      </c>
      <c r="Z30" s="215" t="n"/>
      <c r="AA30" s="215" t="n"/>
      <c r="AB30" s="215" t="n"/>
    </row>
    <row r="31" ht="15.75" customHeight="1" s="154">
      <c r="A31" s="216" t="inlineStr">
        <is>
          <t>阜阳颍州支行营业室</t>
        </is>
      </c>
      <c r="B31" s="216" t="n">
        <v>17</v>
      </c>
      <c r="C31" s="197" t="n"/>
      <c r="D31" s="224" t="n"/>
      <c r="F31" s="198" t="n"/>
      <c r="G31" s="222" t="n">
        <v>13</v>
      </c>
      <c r="H31" s="199" t="n"/>
      <c r="I31" s="152" t="n">
        <v>124576473.24</v>
      </c>
      <c r="J31" s="152" t="n">
        <v>60934877.12</v>
      </c>
      <c r="K31" s="249" t="n"/>
      <c r="L31" s="192" t="inlineStr">
        <is>
          <t>阜阳颍州支行营业室</t>
        </is>
      </c>
      <c r="M31" s="191" t="n"/>
      <c r="N31" s="191" t="n"/>
      <c r="O31" s="216" t="n">
        <v>1</v>
      </c>
      <c r="P31" s="152" t="n">
        <v>6004267.07</v>
      </c>
      <c r="Q31" s="222" t="n"/>
      <c r="R31" s="205">
        <f>P31/10000</f>
        <v/>
      </c>
      <c r="S31" s="249" t="n"/>
      <c r="V31" s="192" t="inlineStr">
        <is>
          <t>阜阳颍州支行营业室</t>
        </is>
      </c>
      <c r="W31" s="153" t="n"/>
      <c r="X31" s="209" t="n">
        <v>7165479</v>
      </c>
      <c r="Y31" s="214">
        <f>X31/10000</f>
        <v/>
      </c>
      <c r="Z31" s="215" t="n"/>
      <c r="AA31" s="215" t="n"/>
      <c r="AB31" s="215" t="n"/>
    </row>
    <row r="32" ht="15.75" customHeight="1" s="154">
      <c r="A32" s="216" t="n"/>
      <c r="B32" s="216" t="n"/>
      <c r="C32" s="196" t="n"/>
      <c r="D32" s="249" t="n"/>
      <c r="F32" s="198" t="n"/>
      <c r="H32" s="199" t="n"/>
      <c r="J32" s="222" t="n"/>
      <c r="K32" s="249" t="n"/>
      <c r="L32" s="225" t="n"/>
      <c r="M32" s="225" t="n"/>
      <c r="N32" s="225" t="n"/>
      <c r="O32" s="216" t="n"/>
      <c r="P32" s="222" t="n"/>
      <c r="Q32" s="222" t="n"/>
      <c r="R32" s="205" t="n">
        <v>0</v>
      </c>
      <c r="S32" s="249" t="n"/>
      <c r="W32" s="153" t="n"/>
      <c r="X32" s="209" t="n"/>
      <c r="Y32" s="214" t="n"/>
      <c r="Z32" s="152" t="n"/>
      <c r="AA32" s="215" t="n"/>
      <c r="AB32" s="215" t="n"/>
    </row>
    <row r="33" ht="15.75" customHeight="1" s="154">
      <c r="A33" s="226" t="inlineStr">
        <is>
          <t>总计</t>
        </is>
      </c>
      <c r="B33" s="226">
        <f>SUM(B20:B32)</f>
        <v/>
      </c>
      <c r="C33" s="196" t="n"/>
      <c r="D33" s="249" t="n"/>
      <c r="F33" s="198" t="n"/>
      <c r="G33" s="227">
        <f>SUM(G20:G32)</f>
        <v/>
      </c>
      <c r="H33" s="227" t="n"/>
      <c r="I33" s="228">
        <f>SUM(I20:I32)</f>
        <v/>
      </c>
      <c r="J33" s="229">
        <f>SUM(J20:J32)</f>
        <v/>
      </c>
      <c r="K33" s="249" t="n"/>
      <c r="L33" s="230" t="inlineStr">
        <is>
          <t>总计</t>
        </is>
      </c>
      <c r="M33" s="230" t="n"/>
      <c r="N33" s="230" t="n"/>
      <c r="O33" s="226">
        <f>SUM(O20:O32)</f>
        <v/>
      </c>
      <c r="P33" s="229">
        <f>SUM(P20:P32)</f>
        <v/>
      </c>
      <c r="Q33" s="212" t="n"/>
      <c r="R33" s="231" t="n"/>
      <c r="S33" s="249" t="n"/>
      <c r="V33" s="203" t="inlineStr">
        <is>
          <t>合计</t>
        </is>
      </c>
      <c r="W33" s="153" t="n"/>
      <c r="X33" s="209" t="n">
        <v>49606141</v>
      </c>
      <c r="Y33" s="214">
        <f>X33/10000</f>
        <v/>
      </c>
      <c r="Z33" s="152" t="n"/>
      <c r="AA33" s="215" t="n"/>
      <c r="AB33" s="215" t="n"/>
    </row>
    <row r="34" ht="15.75" customHeight="1" s="154">
      <c r="W34" s="153" t="n"/>
      <c r="X34" s="153" t="n"/>
      <c r="Y34" s="153" t="n"/>
      <c r="Z34" s="152" t="n"/>
      <c r="AA34" s="152" t="n"/>
      <c r="AB34" s="152" t="n"/>
    </row>
    <row r="35" ht="15.75" customHeight="1" s="154">
      <c r="W35" s="153" t="n"/>
      <c r="X35" s="153" t="n"/>
      <c r="Y35" s="153" t="n"/>
      <c r="Z35" s="152" t="n"/>
      <c r="AA35" s="152" t="n"/>
      <c r="AB35" s="152" t="n"/>
    </row>
    <row r="36" ht="18.75" customHeight="1" s="154">
      <c r="A36" s="157" t="inlineStr">
        <is>
          <t>支行</t>
        </is>
      </c>
      <c r="B36" s="232" t="inlineStr">
        <is>
          <t>月日均600万元以上客户</t>
        </is>
      </c>
      <c r="C36" s="159" t="n"/>
      <c r="D36" s="159" t="n"/>
      <c r="E36" s="160" t="n"/>
      <c r="F36" s="233" t="inlineStr">
        <is>
          <t>去年12月月日均资产</t>
        </is>
      </c>
      <c r="G36" s="234" t="n"/>
      <c r="H36" s="234" t="n"/>
      <c r="I36" s="233" t="inlineStr">
        <is>
          <t>本月最新日均资产</t>
        </is>
      </c>
      <c r="J36" s="192" t="inlineStr">
        <is>
          <t>比上年</t>
        </is>
      </c>
      <c r="K36" s="191" t="n"/>
      <c r="L36" s="235" t="inlineStr">
        <is>
          <t>增幅</t>
        </is>
      </c>
      <c r="M36" s="236" t="n"/>
      <c r="N36" s="236" t="n"/>
      <c r="O36" s="232" t="inlineStr">
        <is>
          <t>月日均2000万元以上</t>
        </is>
      </c>
      <c r="P36" s="159" t="n"/>
      <c r="Q36" s="159" t="n"/>
      <c r="R36" s="159" t="n"/>
      <c r="S36" s="160" t="n"/>
      <c r="T36" s="236" t="n"/>
      <c r="U36" s="236" t="n"/>
      <c r="V36" s="237" t="n"/>
      <c r="W36" s="238" t="n"/>
      <c r="X36" s="234" t="n"/>
      <c r="AA36" s="152" t="n"/>
      <c r="AB36" s="152" t="n"/>
    </row>
    <row r="37" ht="37.5" customFormat="1" customHeight="1" s="153">
      <c r="A37" s="173" t="n"/>
      <c r="B37" s="176" t="inlineStr">
        <is>
          <t>客户数</t>
        </is>
      </c>
      <c r="C37" s="239" t="inlineStr">
        <is>
          <t>2025年末</t>
        </is>
      </c>
      <c r="D37" s="176" t="inlineStr">
        <is>
          <t>比上年</t>
        </is>
      </c>
      <c r="E37" s="176" t="inlineStr">
        <is>
          <t>增幅</t>
        </is>
      </c>
      <c r="G37" s="234" t="n"/>
      <c r="H37" s="234" t="n"/>
      <c r="K37" s="233" t="inlineStr">
        <is>
          <t>比上月</t>
        </is>
      </c>
      <c r="M37" s="238" t="n"/>
      <c r="N37" s="238" t="n"/>
      <c r="O37" s="176" t="inlineStr">
        <is>
          <t>客户数</t>
        </is>
      </c>
      <c r="P37" s="239" t="inlineStr">
        <is>
          <t>2025年末客户数</t>
        </is>
      </c>
      <c r="Q37" s="238" t="n"/>
      <c r="R37" s="153" t="inlineStr">
        <is>
          <t>1本月最新日均资产</t>
        </is>
      </c>
      <c r="S37" s="239" t="inlineStr">
        <is>
          <t>2025年末资产</t>
        </is>
      </c>
      <c r="T37" s="241" t="inlineStr">
        <is>
          <t>上月资产</t>
        </is>
      </c>
      <c r="U37" s="238" t="n"/>
      <c r="V37" s="238" t="n"/>
      <c r="W37" s="238" t="n"/>
      <c r="X37" s="234" t="n"/>
      <c r="AA37" s="153" t="n"/>
      <c r="AB37" s="153" t="n"/>
    </row>
    <row r="38" ht="18.75" customHeight="1" s="154">
      <c r="A38" s="177" t="inlineStr">
        <is>
          <t>颍州</t>
        </is>
      </c>
      <c r="B38" s="232">
        <f>B31+B20+B27</f>
        <v/>
      </c>
      <c r="C38" s="232" t="n">
        <v>32</v>
      </c>
      <c r="D38" s="182">
        <f>B38-C38</f>
        <v/>
      </c>
      <c r="E38" s="243">
        <f>D38/C38</f>
        <v/>
      </c>
      <c r="F38" s="152" t="n">
        <v>300745384.94</v>
      </c>
      <c r="I38" s="182">
        <f>I31+I20+I27</f>
        <v/>
      </c>
      <c r="J38" s="232">
        <f>(I38-F38)/10000</f>
        <v/>
      </c>
      <c r="K38" s="244">
        <f>I49-J49</f>
        <v/>
      </c>
      <c r="L38" s="245">
        <f>J38*10000/F38</f>
        <v/>
      </c>
      <c r="M38" s="245" t="n"/>
      <c r="N38" s="245" t="n"/>
      <c r="O38" s="232">
        <f>O31+O20+O27</f>
        <v/>
      </c>
      <c r="P38" s="232" t="n">
        <v>3</v>
      </c>
      <c r="Q38" s="232" t="n"/>
      <c r="R38" s="182">
        <f>R31+R20+R27</f>
        <v/>
      </c>
      <c r="S38" s="246" t="n">
        <v>7003.959717</v>
      </c>
      <c r="T38" s="246" t="n">
        <v>5011.332289</v>
      </c>
      <c r="U38" s="245" t="n"/>
      <c r="V38" s="247" t="n"/>
      <c r="W38" s="247" t="n"/>
      <c r="X38" s="234" t="n"/>
      <c r="AA38" s="152" t="n"/>
      <c r="AB38" s="152" t="n"/>
    </row>
    <row r="39" ht="18.75" customHeight="1" s="154">
      <c r="A39" s="177" t="inlineStr">
        <is>
          <t>颍泉</t>
        </is>
      </c>
      <c r="B39" s="232">
        <f>B29+B25</f>
        <v/>
      </c>
      <c r="C39" s="232" t="n">
        <v>32</v>
      </c>
      <c r="D39" s="182">
        <f>B39-C39</f>
        <v/>
      </c>
      <c r="E39" s="243">
        <f>D39/C39</f>
        <v/>
      </c>
      <c r="F39" s="152" t="n">
        <v>293239907.56</v>
      </c>
      <c r="I39" s="182">
        <f>I29+I25</f>
        <v/>
      </c>
      <c r="J39" s="232">
        <f>(I39-F39)/10000</f>
        <v/>
      </c>
      <c r="K39" s="244">
        <f>I50-J50</f>
        <v/>
      </c>
      <c r="L39" s="245">
        <f>J39*10000/F39</f>
        <v/>
      </c>
      <c r="M39" s="245" t="n"/>
      <c r="N39" s="245" t="n"/>
      <c r="O39" s="232">
        <f>O29+O25</f>
        <v/>
      </c>
      <c r="P39" s="232" t="n">
        <v>1</v>
      </c>
      <c r="Q39" s="232" t="n"/>
      <c r="R39" s="182">
        <f>R29+R25</f>
        <v/>
      </c>
      <c r="S39" s="246" t="n">
        <v>2902.137999</v>
      </c>
      <c r="T39" s="246" t="n">
        <v>2806.15447</v>
      </c>
      <c r="U39" s="245" t="n"/>
      <c r="V39" s="247" t="n"/>
      <c r="W39" s="247" t="n"/>
      <c r="X39" s="234" t="n"/>
    </row>
    <row r="40" ht="18.75" customHeight="1" s="154">
      <c r="A40" s="177" t="inlineStr">
        <is>
          <t>颍东</t>
        </is>
      </c>
      <c r="B40" s="232">
        <f>B28+B22</f>
        <v/>
      </c>
      <c r="C40" s="232" t="n">
        <v>21</v>
      </c>
      <c r="D40" s="182">
        <f>B40-C40</f>
        <v/>
      </c>
      <c r="E40" s="243">
        <f>D40/C40</f>
        <v/>
      </c>
      <c r="F40" s="152" t="n">
        <v>252897814.21</v>
      </c>
      <c r="I40" s="182">
        <f>I28+I22</f>
        <v/>
      </c>
      <c r="J40" s="232">
        <f>(I40-F40)/10000</f>
        <v/>
      </c>
      <c r="K40" s="244">
        <f>I51-J51</f>
        <v/>
      </c>
      <c r="L40" s="245">
        <f>J40*10000/F40</f>
        <v/>
      </c>
      <c r="M40" s="245" t="n"/>
      <c r="N40" s="245" t="n"/>
      <c r="O40" s="232">
        <f>O28+O22</f>
        <v/>
      </c>
      <c r="P40" s="232" t="n">
        <v>2</v>
      </c>
      <c r="Q40" s="232" t="n"/>
      <c r="R40" s="182">
        <f>R28+R22</f>
        <v/>
      </c>
      <c r="S40" s="246" t="n">
        <v>5676.247847</v>
      </c>
      <c r="T40" s="246" t="n">
        <v>5760.053357</v>
      </c>
      <c r="U40" s="245" t="n"/>
      <c r="V40" s="247" t="n"/>
      <c r="W40" s="247" t="n"/>
      <c r="X40" s="234" t="n"/>
    </row>
    <row r="41" ht="18.75" customHeight="1" s="154">
      <c r="A41" s="177" t="inlineStr">
        <is>
          <t>界首</t>
        </is>
      </c>
      <c r="B41" s="232">
        <f>B23</f>
        <v/>
      </c>
      <c r="C41" s="232" t="n">
        <v>17</v>
      </c>
      <c r="D41" s="182">
        <f>B41-C41</f>
        <v/>
      </c>
      <c r="E41" s="243">
        <f>D41/C41</f>
        <v/>
      </c>
      <c r="F41" s="152" t="n">
        <v>156579680.61</v>
      </c>
      <c r="I41" s="182">
        <f>I23</f>
        <v/>
      </c>
      <c r="J41" s="232">
        <f>(I41-F41)/10000</f>
        <v/>
      </c>
      <c r="K41" s="244">
        <f>I52-J52</f>
        <v/>
      </c>
      <c r="L41" s="245">
        <f>J41*10000/F41</f>
        <v/>
      </c>
      <c r="M41" s="245" t="n"/>
      <c r="N41" s="245" t="n"/>
      <c r="O41" s="232">
        <f>O23</f>
        <v/>
      </c>
      <c r="P41" s="232" t="n">
        <v>0</v>
      </c>
      <c r="Q41" s="232" t="n"/>
      <c r="R41" s="182">
        <f>R23</f>
        <v/>
      </c>
      <c r="S41" s="246" t="n">
        <v>0</v>
      </c>
      <c r="T41" s="246" t="n">
        <v>0</v>
      </c>
      <c r="U41" s="245" t="n"/>
      <c r="V41" s="247" t="n"/>
      <c r="W41" s="247" t="n"/>
      <c r="X41" s="234" t="n"/>
    </row>
    <row r="42" ht="18.75" customHeight="1" s="154">
      <c r="A42" s="177" t="inlineStr">
        <is>
          <t>临泉</t>
        </is>
      </c>
      <c r="B42" s="232">
        <f>B24</f>
        <v/>
      </c>
      <c r="C42" s="232" t="n">
        <v>17</v>
      </c>
      <c r="D42" s="182">
        <f>B42-C42</f>
        <v/>
      </c>
      <c r="E42" s="243">
        <f>D42/C42</f>
        <v/>
      </c>
      <c r="F42" s="152" t="n">
        <v>163920573.15</v>
      </c>
      <c r="I42" s="182">
        <f>I24</f>
        <v/>
      </c>
      <c r="J42" s="232">
        <f>(I42-F42)/10000</f>
        <v/>
      </c>
      <c r="K42" s="244">
        <f>I53-J53</f>
        <v/>
      </c>
      <c r="L42" s="245">
        <f>J42*10000/F42</f>
        <v/>
      </c>
      <c r="M42" s="245" t="n"/>
      <c r="N42" s="245" t="n"/>
      <c r="O42" s="232">
        <f>O24</f>
        <v/>
      </c>
      <c r="P42" s="232" t="n">
        <v>0</v>
      </c>
      <c r="Q42" s="232" t="n"/>
      <c r="R42" s="182">
        <f>R24</f>
        <v/>
      </c>
      <c r="S42" s="246" t="n">
        <v>0</v>
      </c>
      <c r="T42" s="246" t="n">
        <v>0</v>
      </c>
      <c r="U42" s="245" t="n"/>
      <c r="V42" s="247" t="n"/>
      <c r="W42" s="247" t="n"/>
      <c r="X42" s="234" t="n"/>
    </row>
    <row r="43" ht="18.75" customHeight="1" s="154">
      <c r="A43" s="177" t="inlineStr">
        <is>
          <t>阜南</t>
        </is>
      </c>
      <c r="B43" s="232">
        <f>B21</f>
        <v/>
      </c>
      <c r="C43" s="232" t="n">
        <v>16</v>
      </c>
      <c r="D43" s="182">
        <f>B43-C43</f>
        <v/>
      </c>
      <c r="E43" s="243">
        <f>D43/C43</f>
        <v/>
      </c>
      <c r="F43" s="152" t="n">
        <v>150691616.3</v>
      </c>
      <c r="I43" s="182">
        <f>I21</f>
        <v/>
      </c>
      <c r="J43" s="232">
        <f>(I43-F43)/10000</f>
        <v/>
      </c>
      <c r="K43" s="244">
        <f>I54-J54</f>
        <v/>
      </c>
      <c r="L43" s="245">
        <f>J43*10000/F43</f>
        <v/>
      </c>
      <c r="M43" s="245" t="n"/>
      <c r="N43" s="245" t="n"/>
      <c r="O43" s="232">
        <f>O21</f>
        <v/>
      </c>
      <c r="P43" s="232" t="n">
        <v>1</v>
      </c>
      <c r="Q43" s="232" t="n"/>
      <c r="R43" s="182">
        <f>R21</f>
        <v/>
      </c>
      <c r="S43" s="246" t="n">
        <v>2700.342615</v>
      </c>
      <c r="T43" s="246" t="n">
        <v>2490.747417</v>
      </c>
      <c r="U43" s="245" t="n"/>
      <c r="V43" s="247" t="n"/>
      <c r="W43" s="247" t="n"/>
      <c r="X43" s="234" t="n"/>
    </row>
    <row r="44" ht="18.75" customHeight="1" s="154">
      <c r="A44" s="177" t="inlineStr">
        <is>
          <t>颍上</t>
        </is>
      </c>
      <c r="B44" s="232">
        <f>B30</f>
        <v/>
      </c>
      <c r="C44" s="232" t="n">
        <v>9</v>
      </c>
      <c r="D44" s="182">
        <f>B44-C44</f>
        <v/>
      </c>
      <c r="E44" s="243">
        <f>D44/C44</f>
        <v/>
      </c>
      <c r="F44" s="152" t="n">
        <v>66501368.66</v>
      </c>
      <c r="I44" s="182">
        <f>I30</f>
        <v/>
      </c>
      <c r="J44" s="232">
        <f>(I44-F44)/10000</f>
        <v/>
      </c>
      <c r="K44" s="244">
        <f>I55-J55</f>
        <v/>
      </c>
      <c r="L44" s="245">
        <f>J44*10000/F44</f>
        <v/>
      </c>
      <c r="M44" s="245" t="n"/>
      <c r="N44" s="245" t="n"/>
      <c r="O44" s="232">
        <f>O30</f>
        <v/>
      </c>
      <c r="P44" s="232" t="n">
        <v>0</v>
      </c>
      <c r="Q44" s="232" t="n"/>
      <c r="R44" s="182">
        <f>R30</f>
        <v/>
      </c>
      <c r="S44" s="246" t="n">
        <v>0</v>
      </c>
      <c r="T44" s="246" t="n">
        <v>2400.737373</v>
      </c>
      <c r="U44" s="245" t="n"/>
      <c r="V44" s="247" t="n"/>
      <c r="W44" s="247" t="n"/>
      <c r="X44" s="234" t="n"/>
    </row>
    <row r="45" ht="18.75" customHeight="1" s="154">
      <c r="A45" s="177" t="inlineStr">
        <is>
          <t>太和</t>
        </is>
      </c>
      <c r="B45" s="232">
        <f>B26</f>
        <v/>
      </c>
      <c r="C45" s="232" t="n">
        <v>86</v>
      </c>
      <c r="D45" s="182">
        <f>B45-C45</f>
        <v/>
      </c>
      <c r="E45" s="243">
        <f>D45/C45</f>
        <v/>
      </c>
      <c r="F45" s="152" t="n">
        <v>1004111722.26</v>
      </c>
      <c r="I45" s="182">
        <f>I26</f>
        <v/>
      </c>
      <c r="J45" s="232">
        <f>(I45-F45)/10000</f>
        <v/>
      </c>
      <c r="K45" s="244">
        <f>I56-J56</f>
        <v/>
      </c>
      <c r="L45" s="245">
        <f>J45*10000/F45</f>
        <v/>
      </c>
      <c r="M45" s="245" t="n"/>
      <c r="N45" s="245" t="n"/>
      <c r="O45" s="232">
        <f>O26</f>
        <v/>
      </c>
      <c r="P45" s="232" t="n">
        <v>13</v>
      </c>
      <c r="Q45" s="232" t="n"/>
      <c r="R45" s="182">
        <f>R26</f>
        <v/>
      </c>
      <c r="S45" s="246" t="n">
        <v>34259.633932</v>
      </c>
      <c r="T45" s="246" t="n">
        <v>32419.026633</v>
      </c>
      <c r="U45" s="245" t="n"/>
      <c r="V45" s="247" t="n"/>
      <c r="W45" s="247" t="n"/>
      <c r="X45" s="234" t="n"/>
    </row>
    <row r="46" ht="16" customHeight="1" s="154">
      <c r="A46" s="157" t="inlineStr">
        <is>
          <t>合计</t>
        </is>
      </c>
      <c r="B46" s="232">
        <f>B33</f>
        <v/>
      </c>
      <c r="C46" s="232" t="n">
        <v>230</v>
      </c>
      <c r="D46" s="157">
        <f>B46-C46</f>
        <v/>
      </c>
      <c r="E46" s="243">
        <f>D46/C46</f>
        <v/>
      </c>
      <c r="F46" s="152" t="n">
        <v>2388688067.69</v>
      </c>
      <c r="I46" s="182">
        <f>I33</f>
        <v/>
      </c>
      <c r="J46" s="232">
        <f>(I46-F46)/10000</f>
        <v/>
      </c>
      <c r="K46" s="244">
        <f>I57-J57</f>
        <v/>
      </c>
      <c r="L46" s="245">
        <f>J46*10000/F46</f>
        <v/>
      </c>
      <c r="M46" s="245" t="n"/>
      <c r="N46" s="245" t="n"/>
      <c r="O46" s="232">
        <f>O33</f>
        <v/>
      </c>
      <c r="P46" s="232" t="n">
        <v>20</v>
      </c>
      <c r="Q46" s="232" t="n"/>
      <c r="R46" s="182">
        <f>R33</f>
        <v/>
      </c>
      <c r="S46" s="246" t="n">
        <v>52542.32211</v>
      </c>
      <c r="T46" s="246" t="n">
        <v>50888.051539</v>
      </c>
      <c r="U46" s="245" t="n"/>
      <c r="V46" s="247" t="n"/>
      <c r="W46" s="247" t="n"/>
    </row>
    <row r="47" ht="18.75" customHeight="1" s="154">
      <c r="R47" s="182" t="n"/>
    </row>
    <row r="48" ht="18.75" customHeight="1" s="154">
      <c r="D48" s="232" t="inlineStr">
        <is>
          <t>比上月</t>
        </is>
      </c>
      <c r="I48" s="248" t="inlineStr">
        <is>
          <t>本月日均资产</t>
        </is>
      </c>
      <c r="J48" s="249" t="inlineStr">
        <is>
          <t>上月末日均资产</t>
        </is>
      </c>
      <c r="K48" s="249" t="inlineStr">
        <is>
          <t>上月末日均存款余额</t>
        </is>
      </c>
      <c r="O48" s="152" t="inlineStr">
        <is>
          <t>2025年11月末客户数</t>
        </is>
      </c>
    </row>
    <row r="49" ht="18.75" customHeight="1" s="154">
      <c r="A49" s="177" t="inlineStr">
        <is>
          <t>颍州</t>
        </is>
      </c>
      <c r="D49" s="152">
        <f>B38-</f>
        <v/>
      </c>
      <c r="I49" s="152">
        <f>I38/10000</f>
        <v/>
      </c>
      <c r="J49" s="251" t="n">
        <v>35238.963692</v>
      </c>
      <c r="K49" s="152" t="n">
        <v>21906.292153</v>
      </c>
      <c r="O49" s="152" t="n">
        <v>31</v>
      </c>
    </row>
    <row r="50" ht="18.75" customHeight="1" s="154">
      <c r="A50" s="177" t="inlineStr">
        <is>
          <t>颍泉</t>
        </is>
      </c>
      <c r="D50" s="152">
        <f>B39-</f>
        <v/>
      </c>
      <c r="I50" s="152">
        <f>I39/10000</f>
        <v/>
      </c>
      <c r="J50" s="251" t="n">
        <v>37557.182684</v>
      </c>
      <c r="K50" s="152" t="n">
        <v>28050.313642</v>
      </c>
      <c r="O50" s="152" t="n">
        <v>26</v>
      </c>
    </row>
    <row r="51" ht="18.75" customHeight="1" s="154">
      <c r="A51" s="177" t="inlineStr">
        <is>
          <t>颍东</t>
        </is>
      </c>
      <c r="D51" s="152">
        <f>B40-</f>
        <v/>
      </c>
      <c r="I51" s="152">
        <f>I40/10000</f>
        <v/>
      </c>
      <c r="J51" s="251" t="n">
        <v>36133.480048</v>
      </c>
      <c r="K51" s="152" t="n">
        <v>24336.264092</v>
      </c>
      <c r="O51" s="152" t="n">
        <v>19</v>
      </c>
    </row>
    <row r="52" ht="18.75" customHeight="1" s="154">
      <c r="A52" s="177" t="inlineStr">
        <is>
          <t>界首</t>
        </is>
      </c>
      <c r="D52" s="152">
        <f>B41-</f>
        <v/>
      </c>
      <c r="I52" s="152">
        <f>I41/10000</f>
        <v/>
      </c>
      <c r="J52" s="251" t="n">
        <v>19983.538708</v>
      </c>
      <c r="K52" s="152" t="n">
        <v>14130.888091</v>
      </c>
      <c r="O52" s="152" t="n">
        <v>18</v>
      </c>
    </row>
    <row r="53" ht="18.75" customHeight="1" s="154">
      <c r="A53" s="177" t="inlineStr">
        <is>
          <t>临泉</t>
        </is>
      </c>
      <c r="D53" s="152">
        <f>B42-</f>
        <v/>
      </c>
      <c r="I53" s="152">
        <f>I42/10000</f>
        <v/>
      </c>
      <c r="J53" s="251" t="n">
        <v>20909.274736</v>
      </c>
      <c r="K53" s="152" t="n">
        <v>14262.553606</v>
      </c>
      <c r="O53" s="152" t="n">
        <v>18</v>
      </c>
    </row>
    <row r="54" ht="18.75" customHeight="1" s="154">
      <c r="A54" s="177" t="inlineStr">
        <is>
          <t>阜南</t>
        </is>
      </c>
      <c r="D54" s="152">
        <f>B43-</f>
        <v/>
      </c>
      <c r="I54" s="152">
        <f>I43/10000</f>
        <v/>
      </c>
      <c r="J54" s="251" t="n">
        <v>20591.906232</v>
      </c>
      <c r="K54" s="152" t="n">
        <v>15390.00039</v>
      </c>
      <c r="O54" s="152" t="n">
        <v>18</v>
      </c>
    </row>
    <row r="55" ht="18.75" customHeight="1" s="154">
      <c r="A55" s="177" t="inlineStr">
        <is>
          <t>颍上</t>
        </is>
      </c>
      <c r="D55" s="152">
        <f>B44-</f>
        <v/>
      </c>
      <c r="I55" s="152">
        <f>I44/10000</f>
        <v/>
      </c>
      <c r="J55" s="251" t="n">
        <v>9939.241426000001</v>
      </c>
      <c r="K55" s="152" t="n">
        <v>6251.791799</v>
      </c>
      <c r="O55" s="152" t="n">
        <v>8</v>
      </c>
    </row>
    <row r="56" ht="18.75" customHeight="1" s="154">
      <c r="A56" s="177" t="inlineStr">
        <is>
          <t>太和</t>
        </is>
      </c>
      <c r="D56" s="152">
        <f>B45-</f>
        <v/>
      </c>
      <c r="I56" s="152">
        <f>I45/10000</f>
        <v/>
      </c>
      <c r="J56" s="251" t="n">
        <v>110007.693816</v>
      </c>
      <c r="K56" s="152" t="n">
        <v>88319.70017500001</v>
      </c>
      <c r="O56" s="152" t="n">
        <v>88</v>
      </c>
    </row>
    <row r="57" ht="18.75" customHeight="1" s="154">
      <c r="A57" s="157" t="inlineStr">
        <is>
          <t>合计</t>
        </is>
      </c>
      <c r="D57" s="152">
        <f>B46-</f>
        <v/>
      </c>
      <c r="I57" s="152">
        <f>I46/10000</f>
        <v/>
      </c>
      <c r="J57" s="251" t="n">
        <v>291146.995628</v>
      </c>
      <c r="K57" s="152" t="n">
        <v>213433.518234</v>
      </c>
      <c r="O57" s="152" t="n">
        <v>226</v>
      </c>
    </row>
  </sheetData>
  <mergeCells count="24">
    <mergeCell ref="O5:Q5"/>
    <mergeCell ref="F36:F37"/>
    <mergeCell ref="O4:T4"/>
    <mergeCell ref="I36:I37"/>
    <mergeCell ref="A36:A37"/>
    <mergeCell ref="M5:N5"/>
    <mergeCell ref="B5:H5"/>
    <mergeCell ref="O36:S36"/>
    <mergeCell ref="B36:E36"/>
    <mergeCell ref="Z4:Z6"/>
    <mergeCell ref="A4:A6"/>
    <mergeCell ref="B4:N4"/>
    <mergeCell ref="J36:J37"/>
    <mergeCell ref="AA17:AB17"/>
    <mergeCell ref="X4:X5"/>
    <mergeCell ref="R5:T5"/>
    <mergeCell ref="A3:Z3"/>
    <mergeCell ref="A2:Z2"/>
    <mergeCell ref="U4:U5"/>
    <mergeCell ref="AA18:AB18"/>
    <mergeCell ref="W4:W5"/>
    <mergeCell ref="Y4:Y5"/>
    <mergeCell ref="L36:L37"/>
    <mergeCell ref="I5:L5"/>
  </mergeCells>
  <conditionalFormatting sqref="C7:C14">
    <cfRule type="expression" rank="0" priority="2" equalAverage="0" aboveAverage="0" dxfId="0" text="" percent="0" bottom="0">
      <formula>LARGE($C$7:$C$14,MIN(2,COUNT($C$7:$C$14)))&lt;=C7</formula>
    </cfRule>
    <cfRule type="expression" rank="0" priority="3" equalAverage="0" aboveAverage="0" dxfId="1" text="" percent="0" bottom="0">
      <formula>SMALL($C$7:$C$14,MIN(2,COUNT($C$7:$C$14)))&gt;=C7</formula>
    </cfRule>
  </conditionalFormatting>
  <conditionalFormatting sqref="D7:D15">
    <cfRule type="expression" rank="0" priority="4" equalAverage="0" aboveAverage="0" dxfId="1" text="" percent="0" bottom="0">
      <formula>SMALL($D$7:$D$15,MIN(2,COUNT($D$7:$D$15)))&gt;=D7</formula>
    </cfRule>
    <cfRule type="expression" rank="0" priority="5" equalAverage="0" aboveAverage="0" dxfId="0" text="" percent="0" bottom="0">
      <formula>LARGE($D$7:$D$15,MIN(2,COUNT($D$7:$D$15)))&lt;=D7</formula>
    </cfRule>
  </conditionalFormatting>
  <conditionalFormatting sqref="D38:D45">
    <cfRule type="expression" rank="0" priority="6" equalAverage="0" aboveAverage="0" dxfId="4" text="" percent="0" bottom="0">
      <formula>SMALL($D$38:$D$45,MIN(2,COUNT($D$38:$D$45)))&gt;=D38</formula>
    </cfRule>
    <cfRule type="expression" rank="0" priority="7" equalAverage="0" aboveAverage="0" dxfId="5" text="" percent="0" bottom="0">
      <formula>LARGE($D$38:$D$45,MIN(2,COUNT($D$38:$D$45)))&lt;=D38</formula>
    </cfRule>
  </conditionalFormatting>
  <conditionalFormatting sqref="E38:E46">
    <cfRule type="expression" rank="0" priority="8" equalAverage="0" aboveAverage="0" dxfId="1" text="" percent="0" bottom="0">
      <formula>SMALL($E$38:$E$46,MIN(2,COUNT($E$38:$E$46)))&gt;=E38</formula>
    </cfRule>
    <cfRule type="expression" rank="0" priority="9" equalAverage="0" aboveAverage="0" dxfId="0" text="" percent="0" bottom="0">
      <formula>LARGE($E$38:$E$46,MIN(2,COUNT($E$38:$E$46)))&lt;=E38</formula>
    </cfRule>
  </conditionalFormatting>
  <conditionalFormatting sqref="H7:H14">
    <cfRule type="expression" rank="0" priority="10" equalAverage="0" aboveAverage="0" dxfId="1" text="" percent="0" bottom="0">
      <formula>SMALL($H$7:$H$14,MIN(2,COUNT($H$7:$H$14)))&gt;=H7</formula>
    </cfRule>
    <cfRule type="expression" rank="0" priority="11" equalAverage="0" aboveAverage="0" dxfId="0" text="" percent="0" bottom="0">
      <formula>LARGE($H$7:$H$14,MIN(2,COUNT($H$7:$H$14)))&lt;=H7</formula>
    </cfRule>
  </conditionalFormatting>
  <conditionalFormatting sqref="J7:J14">
    <cfRule type="expression" rank="0" priority="12" equalAverage="0" aboveAverage="0" dxfId="1" text="" percent="0" bottom="0">
      <formula>SMALL($J$7:$J$14,MIN(2,COUNT($J$7:$J$14)))&gt;=J7</formula>
    </cfRule>
    <cfRule type="expression" rank="0" priority="13" equalAverage="0" aboveAverage="0" dxfId="0" text="" percent="0" bottom="0">
      <formula>LARGE($J$7:$J$14,MIN(2,COUNT($J$7:$J$14)))&lt;=J7</formula>
    </cfRule>
  </conditionalFormatting>
  <conditionalFormatting sqref="L7:L14">
    <cfRule type="expression" rank="0" priority="14" equalAverage="0" aboveAverage="0" dxfId="1" text="" percent="0" bottom="0">
      <formula>SMALL($L$7:$L$14,MIN(2,COUNT($L$7:$L$14)))&gt;=L7</formula>
    </cfRule>
    <cfRule type="expression" rank="0" priority="15" equalAverage="0" aboveAverage="0" dxfId="0" text="" percent="0" bottom="0">
      <formula>LARGE($L$7:$L$14,MIN(2,COUNT($L$7:$L$14)))&lt;=L7</formula>
    </cfRule>
  </conditionalFormatting>
  <conditionalFormatting sqref="M7:M14">
    <cfRule type="expression" rank="0" priority="16" equalAverage="0" aboveAverage="0" dxfId="1" text="" percent="0" bottom="0">
      <formula>SMALL($M$7:$M$14,MIN(2,COUNT($M$7:$M$14)))&gt;=M7</formula>
    </cfRule>
    <cfRule type="expression" rank="0" priority="17" equalAverage="0" aboveAverage="0" dxfId="0" text="" percent="0" bottom="0">
      <formula>LARGE($M$7:$M$14,MIN(2,COUNT($M$7:$M$14)))&lt;=M7</formula>
    </cfRule>
  </conditionalFormatting>
  <conditionalFormatting sqref="O7:O14">
    <cfRule type="expression" rank="0" priority="18" equalAverage="0" aboveAverage="0" dxfId="1" text="" percent="0" bottom="0">
      <formula>SMALL($O$7:$O$14,MIN(2,COUNT($O$7:$O$14)))&gt;=O7</formula>
    </cfRule>
    <cfRule type="expression" rank="0" priority="19" equalAverage="0" aboveAverage="0" dxfId="0" text="" percent="0" bottom="0">
      <formula>LARGE($O$7:$O$14,MIN(2,COUNT($O$7:$O$14)))&lt;=O7</formula>
    </cfRule>
  </conditionalFormatting>
  <conditionalFormatting sqref="P7:P14">
    <cfRule type="expression" rank="0" priority="20" equalAverage="0" aboveAverage="0" dxfId="0" text="" percent="0" bottom="0">
      <formula>LARGE($P$7:$P$14,MIN(2,COUNT($P$7:$P$14)))&lt;=P7</formula>
    </cfRule>
    <cfRule type="expression" rank="0" priority="21" equalAverage="0" aboveAverage="0" dxfId="1" text="" percent="0" bottom="0">
      <formula>SMALL($P$7:$P$14,MIN(2,COUNT($P$7:$P$14)))&gt;=P7</formula>
    </cfRule>
  </conditionalFormatting>
  <conditionalFormatting sqref="Q7:Q14">
    <cfRule type="expression" rank="0" priority="22" equalAverage="0" aboveAverage="0" dxfId="0" text="" percent="0" bottom="0">
      <formula>LARGE($Q$7:$Q$14,MIN(2,COUNT($Q$7:$Q$14)))&lt;=Q7</formula>
    </cfRule>
    <cfRule type="expression" rank="0" priority="23" equalAverage="0" aboveAverage="0" dxfId="1" text="" percent="0" bottom="0">
      <formula>SMALL($Q$7:$Q$14,MIN(2,COUNT($Q$7:$Q$14)))&gt;=Q7</formula>
    </cfRule>
  </conditionalFormatting>
  <conditionalFormatting sqref="R7:R14">
    <cfRule type="expression" rank="0" priority="24" equalAverage="0" aboveAverage="0" dxfId="1" text="" percent="0" bottom="0">
      <formula>SMALL($R$7:$R$14,MIN(2,COUNT($R$7:$R$14)))&gt;=R7</formula>
    </cfRule>
    <cfRule type="expression" rank="0" priority="25" equalAverage="0" aboveAverage="0" dxfId="0" text="" percent="0" bottom="0">
      <formula>LARGE($R$7:$R$14,MIN(2,COUNT($R$7:$R$14)))&lt;=R7</formula>
    </cfRule>
  </conditionalFormatting>
  <conditionalFormatting sqref="S7:S14">
    <cfRule type="expression" rank="0" priority="26" equalAverage="0" aboveAverage="0" dxfId="1" text="" percent="0" bottom="0">
      <formula>SMALL($S$7:$S$14,MIN(2,COUNT($S$7:$S$14)))&gt;=S7</formula>
    </cfRule>
    <cfRule type="expression" rank="0" priority="27" equalAverage="0" aboveAverage="0" dxfId="0" text="" percent="0" bottom="0">
      <formula>LARGE($S$7:$S$14,MIN(2,COUNT($S$7:$S$14)))&lt;=S7</formula>
    </cfRule>
  </conditionalFormatting>
  <conditionalFormatting sqref="T7:T14">
    <cfRule type="expression" rank="0" priority="28" equalAverage="0" aboveAverage="0" dxfId="1" text="" percent="0" bottom="0">
      <formula>SMALL($T$7:$T$14,MIN(2,COUNT($T$7:$T$14)))&gt;=T7</formula>
    </cfRule>
    <cfRule type="expression" rank="0" priority="29" equalAverage="0" aboveAverage="0" dxfId="0" text="" percent="0" bottom="0">
      <formula>LARGE($T$7:$T$14,MIN(2,COUNT($T$7:$T$14)))&lt;=T7</formula>
    </cfRule>
  </conditionalFormatting>
  <conditionalFormatting sqref="U7:U14">
    <cfRule type="expression" rank="0" priority="30" equalAverage="0" aboveAverage="0" dxfId="1" text="" percent="0" bottom="0">
      <formula>SMALL($U$7:$U$14,MIN(2,COUNT($U$7:$U$14)))&gt;=U7</formula>
    </cfRule>
    <cfRule type="expression" rank="0" priority="31" equalAverage="0" aboveAverage="0" dxfId="0" text="" percent="0" bottom="0">
      <formula>LARGE($U$7:$U$14,MIN(2,COUNT($U$7:$U$14)))&lt;=U7</formula>
    </cfRule>
  </conditionalFormatting>
  <conditionalFormatting sqref="W7:W14">
    <cfRule type="expression" rank="0" priority="32" equalAverage="0" aboveAverage="0" dxfId="1" text="" percent="0" bottom="0">
      <formula>SMALL($W$7:$W$14,MIN(2,COUNT($W$7:$W$14)))&gt;=W7</formula>
    </cfRule>
    <cfRule type="expression" rank="0" priority="33" equalAverage="0" aboveAverage="0" dxfId="0" text="" percent="0" bottom="0">
      <formula>LARGE($W$7:$W$14,MIN(2,COUNT($W$7:$W$14)))&lt;=W7</formula>
    </cfRule>
  </conditionalFormatting>
  <conditionalFormatting sqref="X7:X14">
    <cfRule type="expression" rank="0" priority="34" equalAverage="0" aboveAverage="0" dxfId="1" text="" percent="0" bottom="0">
      <formula>SMALL($X$7:$X$14,MIN(2,COUNT($X$7:$X$14)))&gt;=X7</formula>
    </cfRule>
    <cfRule type="expression" rank="0" priority="35" equalAverage="0" aboveAverage="0" dxfId="0" text="" percent="0" bottom="0">
      <formula>LARGE($X$7:$X$14,MIN(2,COUNT($X$7:$X$14)))&lt;=X7</formula>
    </cfRule>
  </conditionalFormatting>
  <conditionalFormatting sqref="Y7:Y14">
    <cfRule type="expression" rank="0" priority="36" equalAverage="0" aboveAverage="0" dxfId="1" text="" percent="0" bottom="0">
      <formula>SMALL($Y$7:$Y$14,MIN(2,COUNT($Y$7:$Y$14)))&gt;=Y7</formula>
    </cfRule>
    <cfRule type="expression" rank="0" priority="37" equalAverage="0" aboveAverage="0" dxfId="0" text="" percent="0" bottom="0">
      <formula>LARGE($Y$7:$Y$14,MIN(2,COUNT($Y$7:$Y$14)))&lt;=Y7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609375" defaultRowHeight="15.75" zeroHeight="0" outlineLevelRow="0"/>
  <cols>
    <col width="8.369999999999999" customWidth="1" style="152" min="1" max="1"/>
    <col width="8.69" customWidth="1" style="152" min="2" max="2"/>
    <col width="7.62" customWidth="1" style="152" min="3" max="3"/>
    <col width="9.619999999999999" customWidth="1" style="152" min="4" max="4"/>
    <col hidden="1" width="13.12" customWidth="1" style="152" min="5" max="5"/>
    <col hidden="1" width="10.69" customWidth="1" style="152" min="6" max="6"/>
    <col hidden="1" width="11.5" customWidth="1" style="152" min="7" max="7"/>
    <col hidden="1" width="10.93" customWidth="1" style="152" min="8" max="8"/>
    <col hidden="1" width="10.69" customWidth="1" style="152" min="9" max="9"/>
    <col width="12.36" customWidth="1" style="152" min="10" max="11"/>
    <col width="11.39" customWidth="1" style="154" min="11" max="11"/>
    <col hidden="1" width="11.52" customWidth="1" style="152" min="12" max="12"/>
    <col width="13.12" customWidth="1" style="152" min="13" max="13"/>
  </cols>
  <sheetData>
    <row r="1" ht="45" customHeight="1" s="154">
      <c r="A1" s="252" t="inlineStr">
        <is>
          <t>阜阳分行私人银行核心指标通报（2026年10月24日）</t>
        </is>
      </c>
      <c r="B1" s="159" t="n"/>
      <c r="C1" s="159" t="n"/>
      <c r="D1" s="159" t="n"/>
      <c r="E1" s="159" t="n"/>
      <c r="F1" s="159" t="n"/>
      <c r="G1" s="159" t="n"/>
      <c r="H1" s="159" t="n"/>
      <c r="I1" s="159" t="n"/>
      <c r="J1" s="159" t="n"/>
      <c r="K1" s="159" t="n"/>
      <c r="L1" s="159" t="n"/>
      <c r="M1" s="160" t="n"/>
    </row>
    <row r="2" ht="21" customHeight="1" s="154">
      <c r="A2" s="253" t="inlineStr">
        <is>
          <t>单位：万元、户</t>
        </is>
      </c>
      <c r="B2" s="159" t="n"/>
      <c r="C2" s="159" t="n"/>
      <c r="D2" s="159" t="n"/>
      <c r="E2" s="159" t="n"/>
      <c r="F2" s="159" t="n"/>
      <c r="G2" s="159" t="n"/>
      <c r="H2" s="159" t="n"/>
      <c r="I2" s="159" t="n"/>
      <c r="J2" s="159" t="n"/>
      <c r="K2" s="159" t="n"/>
      <c r="L2" s="159" t="n"/>
      <c r="M2" s="160" t="n"/>
    </row>
    <row r="3" ht="37" customHeight="1" s="154">
      <c r="A3" s="157" t="inlineStr">
        <is>
          <t>支行</t>
        </is>
      </c>
      <c r="B3" s="169" t="inlineStr">
        <is>
          <t>当月全量日均600万元以上客户与资产</t>
        </is>
      </c>
      <c r="C3" s="159" t="n"/>
      <c r="D3" s="159" t="n"/>
      <c r="E3" s="159" t="n"/>
      <c r="F3" s="159" t="n"/>
      <c r="G3" s="159" t="n"/>
      <c r="H3" s="160" t="n"/>
      <c r="I3" s="158" t="inlineStr">
        <is>
          <t>私银产品销售情况</t>
        </is>
      </c>
      <c r="J3" s="159" t="n"/>
      <c r="K3" s="159" t="n"/>
      <c r="L3" s="159" t="n"/>
      <c r="M3" s="160" t="n"/>
    </row>
    <row r="4" ht="38" customHeight="1" s="154">
      <c r="A4" s="166" t="n"/>
      <c r="B4" s="254" t="inlineStr">
        <is>
          <t>客户（户）</t>
        </is>
      </c>
      <c r="E4" s="254" t="inlineStr">
        <is>
          <t>达标客户资产（万元）</t>
        </is>
      </c>
      <c r="F4" s="159" t="n"/>
      <c r="G4" s="160" t="n"/>
      <c r="H4" s="255" t="inlineStr">
        <is>
          <t>其中：日均存款</t>
        </is>
      </c>
      <c r="I4" s="256" t="inlineStr">
        <is>
          <t>私银遴选产品规模</t>
        </is>
      </c>
      <c r="J4" s="160" t="n"/>
      <c r="K4" s="256" t="inlineStr">
        <is>
          <t>私银快贷</t>
        </is>
      </c>
      <c r="L4" s="256" t="inlineStr">
        <is>
          <t>当年家族信托</t>
        </is>
      </c>
      <c r="M4" s="256" t="inlineStr">
        <is>
          <t>当年私银专属期交保险</t>
        </is>
      </c>
    </row>
    <row r="5" ht="39" customHeight="1" s="154">
      <c r="A5" s="173" t="n"/>
      <c r="B5" s="254" t="inlineStr">
        <is>
          <t>客户数</t>
        </is>
      </c>
      <c r="C5" s="254" t="inlineStr">
        <is>
          <t>比上年</t>
        </is>
      </c>
      <c r="D5" s="254" t="inlineStr">
        <is>
          <t>比9月末</t>
        </is>
      </c>
      <c r="E5" s="254" t="inlineStr">
        <is>
          <t>资产</t>
        </is>
      </c>
      <c r="F5" s="254" t="inlineStr">
        <is>
          <t>比上年</t>
        </is>
      </c>
      <c r="G5" s="254" t="inlineStr">
        <is>
          <t>比9月末</t>
        </is>
      </c>
      <c r="H5" s="255" t="inlineStr">
        <is>
          <t>余额</t>
        </is>
      </c>
      <c r="I5" s="257" t="inlineStr">
        <is>
          <t>余额</t>
        </is>
      </c>
      <c r="J5" s="257" t="inlineStr">
        <is>
          <t>四季度增量</t>
        </is>
      </c>
      <c r="K5" s="257" t="inlineStr">
        <is>
          <t>提款金额</t>
        </is>
      </c>
      <c r="L5" s="257" t="inlineStr">
        <is>
          <t>已出单</t>
        </is>
      </c>
      <c r="M5" s="257" t="inlineStr">
        <is>
          <t>已销售</t>
        </is>
      </c>
    </row>
    <row r="6" ht="25" customHeight="1" s="154">
      <c r="A6" s="177" t="inlineStr">
        <is>
          <t>颍州</t>
        </is>
      </c>
      <c r="B6" s="182" t="n"/>
      <c r="C6" s="182" t="n"/>
      <c r="D6" s="182" t="n"/>
      <c r="E6" s="251" t="n"/>
      <c r="F6" s="183" t="n"/>
      <c r="G6" s="183" t="n"/>
      <c r="H6" s="183" t="n"/>
      <c r="I6" s="258" t="n"/>
      <c r="J6" s="178" t="n"/>
      <c r="K6" s="178" t="n"/>
      <c r="L6" s="178" t="n"/>
      <c r="M6" s="178" t="n"/>
    </row>
    <row r="7" ht="25" customHeight="1" s="154">
      <c r="A7" s="177" t="inlineStr">
        <is>
          <t>颍泉</t>
        </is>
      </c>
      <c r="B7" s="182" t="n"/>
      <c r="C7" s="182" t="n"/>
      <c r="D7" s="182" t="n"/>
      <c r="E7" s="251" t="n"/>
      <c r="F7" s="183" t="n"/>
      <c r="G7" s="183" t="n"/>
      <c r="H7" s="183" t="n"/>
      <c r="I7" s="181" t="n"/>
      <c r="J7" s="178" t="n"/>
      <c r="K7" s="178" t="n"/>
      <c r="L7" s="178" t="n"/>
      <c r="M7" s="178" t="n"/>
    </row>
    <row r="8" ht="25" customHeight="1" s="154">
      <c r="A8" s="177" t="inlineStr">
        <is>
          <t>颍东</t>
        </is>
      </c>
      <c r="B8" s="182" t="n"/>
      <c r="C8" s="182" t="n"/>
      <c r="D8" s="182" t="n"/>
      <c r="E8" s="251" t="n"/>
      <c r="F8" s="183" t="n"/>
      <c r="G8" s="183" t="n"/>
      <c r="H8" s="183" t="n"/>
      <c r="I8" s="258" t="n"/>
      <c r="J8" s="178" t="n"/>
      <c r="K8" s="259" t="n"/>
      <c r="L8" s="259" t="n"/>
      <c r="M8" s="178" t="n"/>
    </row>
    <row r="9" ht="25" customHeight="1" s="154">
      <c r="A9" s="177" t="inlineStr">
        <is>
          <t>界首</t>
        </is>
      </c>
      <c r="B9" s="182" t="n"/>
      <c r="C9" s="182" t="n"/>
      <c r="D9" s="182" t="n"/>
      <c r="E9" s="251" t="n"/>
      <c r="F9" s="183" t="n"/>
      <c r="G9" s="183" t="n"/>
      <c r="H9" s="183" t="n"/>
      <c r="I9" s="260" t="n"/>
      <c r="J9" s="178" t="n"/>
      <c r="K9" s="259" t="n"/>
      <c r="L9" s="259" t="n"/>
      <c r="M9" s="259" t="n"/>
    </row>
    <row r="10" ht="25" customHeight="1" s="154">
      <c r="A10" s="177" t="inlineStr">
        <is>
          <t>临泉</t>
        </is>
      </c>
      <c r="B10" s="182" t="n"/>
      <c r="C10" s="182" t="n"/>
      <c r="D10" s="182" t="n"/>
      <c r="E10" s="251" t="n"/>
      <c r="F10" s="183" t="n"/>
      <c r="G10" s="183" t="n"/>
      <c r="H10" s="183" t="n"/>
      <c r="I10" s="181" t="n"/>
      <c r="J10" s="178" t="n"/>
      <c r="K10" s="178" t="n"/>
      <c r="L10" s="178" t="n"/>
      <c r="M10" s="178" t="n"/>
    </row>
    <row r="11" ht="25" customHeight="1" s="154">
      <c r="A11" s="177" t="inlineStr">
        <is>
          <t>阜南</t>
        </is>
      </c>
      <c r="B11" s="182" t="n"/>
      <c r="C11" s="182" t="n"/>
      <c r="D11" s="182" t="n"/>
      <c r="E11" s="251" t="n"/>
      <c r="F11" s="183" t="n"/>
      <c r="G11" s="183" t="n"/>
      <c r="H11" s="183" t="n"/>
      <c r="I11" s="260" t="n"/>
      <c r="J11" s="178" t="n"/>
      <c r="K11" s="178" t="n"/>
      <c r="L11" s="178" t="n"/>
      <c r="M11" s="178" t="n"/>
    </row>
    <row r="12" ht="25" customHeight="1" s="154">
      <c r="A12" s="177" t="inlineStr">
        <is>
          <t>颍上</t>
        </is>
      </c>
      <c r="B12" s="182" t="n"/>
      <c r="C12" s="182" t="n"/>
      <c r="D12" s="182" t="n"/>
      <c r="E12" s="251" t="n"/>
      <c r="F12" s="183" t="n"/>
      <c r="G12" s="183" t="n"/>
      <c r="H12" s="183" t="n"/>
      <c r="I12" s="181" t="n"/>
      <c r="J12" s="178" t="n"/>
      <c r="K12" s="178" t="n"/>
      <c r="L12" s="178" t="n"/>
      <c r="M12" s="178" t="n"/>
    </row>
    <row r="13" ht="25" customHeight="1" s="154">
      <c r="A13" s="177" t="inlineStr">
        <is>
          <t>太和</t>
        </is>
      </c>
      <c r="B13" s="182" t="n"/>
      <c r="C13" s="182" t="n"/>
      <c r="D13" s="182" t="n"/>
      <c r="E13" s="251" t="n"/>
      <c r="F13" s="183" t="n"/>
      <c r="G13" s="183" t="n"/>
      <c r="H13" s="183" t="n"/>
      <c r="I13" s="181" t="n"/>
      <c r="J13" s="178" t="n"/>
      <c r="K13" s="178" t="n"/>
      <c r="L13" s="178" t="n"/>
      <c r="M13" s="178" t="n"/>
    </row>
    <row r="14" ht="25" customHeight="1" s="154">
      <c r="A14" s="157" t="inlineStr">
        <is>
          <t>合计</t>
        </is>
      </c>
      <c r="B14" s="182" t="n"/>
      <c r="C14" s="182" t="n"/>
      <c r="D14" s="182" t="n"/>
      <c r="E14" s="251" t="n"/>
      <c r="F14" s="251" t="n"/>
      <c r="G14" s="183" t="n"/>
      <c r="H14" s="183" t="n"/>
      <c r="I14" s="181" t="n"/>
      <c r="J14" s="261" t="n"/>
      <c r="K14" s="262" t="n"/>
      <c r="L14" s="262" t="n"/>
      <c r="M14" s="262" t="n"/>
    </row>
    <row r="15" hidden="1" ht="25" customHeight="1" s="154">
      <c r="A15" s="263" t="inlineStr">
        <is>
          <t>备注：因部分客户无归属支行，故合计数大于支行总计</t>
        </is>
      </c>
      <c r="B15" s="264" t="n"/>
      <c r="C15" s="264" t="n"/>
      <c r="D15" s="264" t="n"/>
      <c r="E15" s="264" t="n"/>
      <c r="F15" s="264" t="n"/>
      <c r="G15" s="264" t="n"/>
      <c r="H15" s="264" t="n"/>
      <c r="I15" s="264" t="n"/>
      <c r="J15" s="264" t="n"/>
      <c r="K15" s="264" t="n"/>
      <c r="L15" s="264" t="n"/>
      <c r="M15" s="264" t="n"/>
    </row>
    <row r="16" ht="20.25" customHeight="1" s="154"/>
    <row r="17" ht="20.25" customHeight="1" s="154"/>
    <row r="18" ht="47.25" customHeight="1" s="154"/>
    <row r="19" ht="15.75" customHeight="1" s="154"/>
    <row r="20" ht="15.75" customHeight="1" s="154"/>
    <row r="21" ht="15.75" customHeight="1" s="154"/>
    <row r="22" ht="15.75" customHeight="1" s="154"/>
    <row r="23" ht="15.75" customHeight="1" s="154"/>
    <row r="24" ht="15.75" customHeight="1" s="154"/>
    <row r="25" ht="15.75" customHeight="1" s="154"/>
    <row r="26" ht="15.75" customHeight="1" s="154"/>
    <row r="27" ht="15.75" customHeight="1" s="154"/>
    <row r="28" ht="15.75" customHeight="1" s="154"/>
    <row r="29" ht="15.75" customHeight="1" s="154"/>
    <row r="30" ht="15.75" customHeight="1" s="154"/>
    <row r="31" ht="15.75" customHeight="1" s="154"/>
    <row r="32" ht="15.75" customHeight="1" s="154"/>
    <row r="33" ht="15.75" customHeight="1" s="154"/>
    <row r="34" ht="15.75" customHeight="1" s="154"/>
    <row r="35" ht="18.75" customHeight="1" s="154"/>
    <row r="36" ht="37.5" customFormat="1" customHeight="1" s="153"/>
    <row r="37" ht="18.75" customHeight="1" s="154"/>
    <row r="38" ht="18.75" customHeight="1" s="154"/>
    <row r="39" ht="18.75" customHeight="1" s="154"/>
    <row r="40" ht="18.75" customHeight="1" s="154"/>
    <row r="41" ht="18.75" customHeight="1" s="154"/>
    <row r="42" ht="18.75" customHeight="1" s="154"/>
    <row r="43" ht="18.75" customHeight="1" s="154"/>
    <row r="44" ht="18.75" customHeight="1" s="154"/>
    <row r="45" ht="16" customHeight="1" s="154"/>
    <row r="46" ht="18.75" customHeight="1" s="154"/>
    <row r="47" ht="18.75" customHeight="1" s="154"/>
    <row r="48" ht="18.75" customHeight="1" s="154"/>
    <row r="49" ht="18.75" customHeight="1" s="154"/>
    <row r="50" ht="18.75" customHeight="1" s="154"/>
    <row r="51" ht="18.75" customHeight="1" s="154"/>
    <row r="52" ht="18.75" customHeight="1" s="154"/>
    <row r="53" ht="18.75" customHeight="1" s="154"/>
    <row r="54" ht="18.75" customHeight="1" s="154"/>
    <row r="55" ht="18.75" customHeight="1" s="154"/>
    <row r="56" ht="18.75" customHeight="1" s="154"/>
  </sheetData>
  <mergeCells count="7">
    <mergeCell ref="I3:M3"/>
    <mergeCell ref="I4:J4"/>
    <mergeCell ref="A1:M1"/>
    <mergeCell ref="A3:A5"/>
    <mergeCell ref="E4:G4"/>
    <mergeCell ref="B3:H3"/>
    <mergeCell ref="A2:M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周璇</dc:creator>
  <dc:language xmlns:dc="http://purl.org/dc/elements/1.1/">en-US</dc:language>
  <dcterms:created xmlns:dcterms="http://purl.org/dc/terms/" xmlns:xsi="http://www.w3.org/2001/XMLSchema-instance" xsi:type="dcterms:W3CDTF">2024-01-29T17:45:49Z</dcterms:created>
  <dcterms:modified xmlns:dcterms="http://purl.org/dc/terms/" xmlns:xsi="http://www.w3.org/2001/XMLSchema-instance" xsi:type="dcterms:W3CDTF">2026-10-28T02:17:03Z</dcterms:modified>
  <cp:lastModifiedBy>高梦婷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E95DD1DDE57AD810D7DEB769CEB1F0C5</vt:lpwstr>
  </property>
  <property name="KSOProductBuildVer" fmtid="{D5CDD505-2E9C-101B-9397-08002B2CF9AE}" pid="3">
    <vt:lpwstr xmlns:vt="http://schemas.openxmlformats.org/officeDocument/2006/docPropsVTypes">2052-11.8.2.12390</vt:lpwstr>
  </property>
  <property name="KSOReadingLayout" fmtid="{D5CDD505-2E9C-101B-9397-08002B2CF9AE}" pid="4">
    <vt:bool xmlns:vt="http://schemas.openxmlformats.org/officeDocument/2006/docPropsVTypes">1</vt:bool>
  </property>
</Properties>
</file>