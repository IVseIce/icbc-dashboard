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2" activeTab="0" autoFilterDateGrouping="1"/>
  </bookViews>
  <sheets>
    <sheet xmlns:r="http://schemas.openxmlformats.org/officeDocument/2006/relationships" name="定稿" sheetId="1" state="visible" r:id="rId1"/>
  </sheets>
  <definedNames>
    <definedName name="_xlnm.Print_Area" localSheetId="0">'定稿'!$A$1:$AH$14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_ "/>
    <numFmt numFmtId="165" formatCode="0.0%"/>
    <numFmt numFmtId="166" formatCode="0.0_ "/>
  </numFmts>
  <fonts count="33">
    <font>
      <name val="宋体"/>
      <charset val="134"/>
      <family val="0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22"/>
    </font>
    <font>
      <name val="黑体"/>
      <family val="0"/>
      <b val="1"/>
      <color rgb="FFFFFFFF"/>
      <sz val="22"/>
    </font>
    <font>
      <name val="DejaVu Sans"/>
      <family val="2"/>
      <sz val="12"/>
    </font>
    <font>
      <name val="DejaVu Sans"/>
      <family val="2"/>
      <sz val="14"/>
    </font>
    <font>
      <name val="DejaVu Sans"/>
      <family val="2"/>
      <b val="1"/>
      <color rgb="FF000000"/>
      <sz val="14"/>
    </font>
    <font>
      <name val="微软雅黑"/>
      <charset val="134"/>
      <family val="0"/>
      <b val="1"/>
      <color rgb="FF000000"/>
      <sz val="14"/>
    </font>
    <font>
      <name val="DejaVu Sans"/>
      <family val="2"/>
      <b val="1"/>
      <sz val="13"/>
    </font>
    <font>
      <name val="微软雅黑"/>
      <charset val="134"/>
      <family val="0"/>
      <b val="1"/>
      <sz val="13"/>
    </font>
    <font>
      <name val="DejaVu Sans"/>
      <family val="2"/>
      <color rgb="FF000000"/>
      <sz val="14"/>
    </font>
    <font>
      <name val="仿宋_GB2312"/>
      <charset val="134"/>
      <family val="0"/>
      <sz val="14"/>
    </font>
    <font>
      <name val="国标黑体"/>
      <family val="0"/>
      <sz val="12"/>
    </font>
    <font>
      <name val="微软雅黑"/>
      <charset val="134"/>
      <family val="0"/>
      <b val="1"/>
      <sz val="16"/>
    </font>
    <font>
      <name val="Arial"/>
      <family val="0"/>
      <color rgb="FFFF0000"/>
      <sz val="10"/>
    </font>
    <font>
      <name val="DejaVu Sans"/>
      <family val="2"/>
      <color rgb="FFFF0000"/>
      <sz val="10"/>
    </font>
    <font>
      <name val="DejaVu Sans"/>
      <family val="2"/>
      <color rgb="FFFF0000"/>
      <sz val="12"/>
    </font>
    <font>
      <name val="微软雅黑"/>
      <charset val="134"/>
      <family val="0"/>
      <color rgb="FFFF0000"/>
      <sz val="10"/>
    </font>
    <font>
      <name val="宋体"/>
      <charset val="134"/>
      <family val="0"/>
      <color rgb="FFFF0000"/>
      <sz val="12"/>
    </font>
    <font>
      <name val="DejaVu Sans"/>
      <family val="2"/>
      <color rgb="FF000000"/>
      <sz val="10"/>
    </font>
    <font>
      <name val="微软雅黑"/>
      <charset val="134"/>
      <family val="0"/>
      <color rgb="FF000000"/>
      <sz val="10"/>
    </font>
    <font>
      <name val="微软雅黑"/>
      <charset val="134"/>
      <family val="0"/>
      <sz val="10"/>
    </font>
    <font>
      <name val="宋体"/>
      <charset val="134"/>
      <family val="0"/>
      <color rgb="FF000000"/>
      <sz val="11"/>
    </font>
    <font>
      <name val="DejaVu Sans"/>
      <family val="2"/>
      <color rgb="FF000000"/>
      <sz val="11"/>
    </font>
    <font>
      <name val="DejaVu Sans"/>
      <family val="2"/>
      <sz val="10"/>
    </font>
    <font>
      <name val="仿宋_GB2312"/>
      <charset val="134"/>
      <family val="0"/>
      <color rgb="FF000000"/>
      <sz val="14"/>
    </font>
    <font>
      <name val="DejaVu Sans"/>
      <family val="2"/>
      <color rgb="FFFF0000"/>
      <sz val="14"/>
    </font>
    <font>
      <name val="DejaVu Sans"/>
      <family val="2"/>
      <b val="1"/>
      <color rgb="FF000000"/>
      <sz val="13"/>
    </font>
    <font>
      <name val="仿宋_GB2312"/>
      <charset val="134"/>
      <family val="0"/>
      <b val="1"/>
      <sz val="12"/>
    </font>
    <font>
      <name val="仿宋_GB2312"/>
      <charset val="134"/>
      <family val="0"/>
      <b val="1"/>
      <color rgb="FF000000"/>
      <sz val="13"/>
    </font>
    <font>
      <name val="仿宋_GB2312"/>
      <charset val="134"/>
      <family val="0"/>
      <color rgb="FFFF0000"/>
      <sz val="14"/>
    </font>
  </fonts>
  <fills count="10">
    <fill>
      <patternFill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FFCC99"/>
        <bgColor rgb="FFC0C0C0"/>
      </patternFill>
    </fill>
    <fill>
      <patternFill patternType="solid">
        <fgColor rgb="FFCCCCFF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99CC00"/>
        <bgColor rgb="FFFFCC00"/>
      </patternFill>
    </fill>
    <fill>
      <patternFill patternType="solid">
        <fgColor rgb="FFFFFF00"/>
        <bgColor rgb="FFFFFF00"/>
      </patternFill>
    </fill>
  </fills>
  <borders count="2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 style="thin"/>
      <right/>
      <top/>
      <bottom style="thin"/>
      <diagonal/>
    </border>
    <border>
      <left/>
      <right style="thin"/>
      <top style="thin"/>
      <bottom style="thin"/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 style="thin">
        <color rgb="FFC0C0C0"/>
      </right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/>
      <bottom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>
        <color rgb="FF99CCFF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 style="thin"/>
      <top style="thin"/>
      <bottom/>
      <diagonal/>
    </border>
  </borders>
  <cellStyleXfs count="7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center"/>
    </xf>
    <xf numFmtId="0" fontId="0" fillId="0" borderId="0" applyAlignment="1">
      <alignment horizontal="general" vertical="bottom"/>
    </xf>
  </cellStyleXfs>
  <cellXfs count="189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20">
      <alignment horizontal="center" vertical="center" wrapText="1"/>
    </xf>
    <xf numFmtId="0" fontId="13" fillId="3" borderId="1" applyAlignment="1" pivotButton="0" quotePrefix="0" xfId="0">
      <alignment horizontal="center" vertical="center"/>
    </xf>
    <xf numFmtId="165" fontId="13" fillId="3" borderId="1" applyAlignment="1" pivotButton="0" quotePrefix="0" xfId="19">
      <alignment horizontal="center" vertical="center"/>
    </xf>
    <xf numFmtId="164" fontId="13" fillId="3" borderId="1" applyAlignment="1" pivotButton="0" quotePrefix="0" xfId="0">
      <alignment horizontal="center" vertical="center"/>
    </xf>
    <xf numFmtId="164" fontId="13" fillId="3" borderId="1" applyAlignment="1" pivotButton="0" quotePrefix="0" xfId="19">
      <alignment horizontal="center"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19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19">
      <alignment horizontal="center" vertical="center" wrapText="1"/>
    </xf>
    <xf numFmtId="0" fontId="13" fillId="7" borderId="1" applyAlignment="1" pivotButton="0" quotePrefix="0" xfId="0">
      <alignment horizontal="center" vertical="center"/>
    </xf>
    <xf numFmtId="164" fontId="13" fillId="0" borderId="1" applyAlignment="1" pivotButton="0" quotePrefix="0" xfId="19">
      <alignment horizontal="center" vertical="center" wrapText="1"/>
    </xf>
    <xf numFmtId="0" fontId="6" fillId="0" borderId="2" applyAlignment="1" pivotButton="0" quotePrefix="0" xfId="0">
      <alignment horizontal="general" vertical="center"/>
    </xf>
    <xf numFmtId="0" fontId="14" fillId="0" borderId="3" applyAlignment="1" pivotButton="0" quotePrefix="0" xfId="0">
      <alignment horizontal="general" vertical="center"/>
    </xf>
    <xf numFmtId="0" fontId="14" fillId="0" borderId="5" applyAlignment="1" pivotButton="0" quotePrefix="0" xfId="0">
      <alignment horizontal="general" vertical="center"/>
    </xf>
    <xf numFmtId="0" fontId="1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6" fillId="0" borderId="6" applyAlignment="1" pivotButton="0" quotePrefix="0" xfId="0">
      <alignment horizontal="general" vertical="bottom"/>
    </xf>
    <xf numFmtId="0" fontId="17" fillId="0" borderId="6" applyAlignment="1" pivotButton="0" quotePrefix="0" xfId="0">
      <alignment horizontal="general" vertical="bottom"/>
    </xf>
    <xf numFmtId="0" fontId="16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center"/>
    </xf>
    <xf numFmtId="0" fontId="17" fillId="0" borderId="8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21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4" fillId="0" borderId="0" applyAlignment="1" pivotButton="0" quotePrefix="0" xfId="0">
      <alignment horizontal="general" vertical="center"/>
    </xf>
    <xf numFmtId="0" fontId="16" fillId="0" borderId="7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8" applyAlignment="1" pivotButton="0" quotePrefix="0" xfId="0">
      <alignment horizontal="general" vertical="center"/>
    </xf>
    <xf numFmtId="0" fontId="16" fillId="0" borderId="9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2" fillId="0" borderId="0" applyAlignment="1" pivotButton="0" quotePrefix="0" xfId="0">
      <alignment horizontal="right" vertical="center" wrapText="1"/>
    </xf>
    <xf numFmtId="0" fontId="22" fillId="0" borderId="0" applyAlignment="1" pivotButton="0" quotePrefix="0" xfId="0">
      <alignment horizontal="right" vertical="center"/>
    </xf>
    <xf numFmtId="0" fontId="6" fillId="0" borderId="10" applyAlignment="1" pivotButton="0" quotePrefix="0" xfId="0">
      <alignment horizontal="general" vertical="center"/>
    </xf>
    <xf numFmtId="0" fontId="16" fillId="0" borderId="1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4" fillId="0" borderId="0" applyAlignment="1" pivotButton="0" quotePrefix="0" xfId="0">
      <alignment horizontal="general" vertical="center"/>
    </xf>
    <xf numFmtId="0" fontId="16" fillId="0" borderId="1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0" fontId="22" fillId="0" borderId="0" applyAlignment="1" pivotButton="0" quotePrefix="0" xfId="0">
      <alignment horizontal="right" vertical="center"/>
    </xf>
    <xf numFmtId="0" fontId="0" fillId="0" borderId="12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center" vertical="bottom"/>
    </xf>
    <xf numFmtId="0" fontId="16" fillId="0" borderId="13" applyAlignment="1" pivotButton="0" quotePrefix="0" xfId="0">
      <alignment horizontal="center" vertical="bottom"/>
    </xf>
    <xf numFmtId="0" fontId="1" fillId="0" borderId="0" applyAlignment="1" pivotButton="0" quotePrefix="0" xfId="0">
      <alignment horizontal="general" vertical="bottom"/>
    </xf>
    <xf numFmtId="0" fontId="6" fillId="0" borderId="14" applyAlignment="1" pivotButton="0" quotePrefix="0" xfId="0">
      <alignment horizontal="general" vertical="center"/>
    </xf>
    <xf numFmtId="0" fontId="19" fillId="0" borderId="2" applyAlignment="1" pivotButton="0" quotePrefix="0" xfId="0">
      <alignment horizontal="center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26" fillId="0" borderId="14" applyAlignment="1" pivotButton="0" quotePrefix="0" xfId="0">
      <alignment horizontal="general" vertical="bottom"/>
    </xf>
    <xf numFmtId="0" fontId="1" fillId="0" borderId="8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27" fillId="0" borderId="17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27" fillId="0" borderId="17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/>
    </xf>
    <xf numFmtId="165" fontId="13" fillId="0" borderId="1" applyAlignment="1" pivotButton="0" quotePrefix="0" xfId="19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5" fontId="0" fillId="0" borderId="0" applyAlignment="1" pivotButton="0" quotePrefix="0" xfId="19">
      <alignment horizontal="center" vertical="center"/>
    </xf>
    <xf numFmtId="166" fontId="13" fillId="0" borderId="1" applyAlignment="1" pivotButton="0" quotePrefix="0" xfId="19">
      <alignment horizontal="center" vertical="center"/>
    </xf>
    <xf numFmtId="165" fontId="0" fillId="0" borderId="0" applyAlignment="1" pivotButton="0" quotePrefix="0" xfId="19">
      <alignment horizontal="center" vertical="center" wrapText="1"/>
    </xf>
    <xf numFmtId="0" fontId="6" fillId="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164" fontId="13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29" fillId="0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30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29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4" fontId="13" fillId="2" borderId="1" applyAlignment="1" pivotButton="0" quotePrefix="0" xfId="19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3" borderId="1" applyAlignment="1" pivotButton="0" quotePrefix="0" xfId="19">
      <alignment horizontal="center" vertical="center" wrapText="1"/>
    </xf>
    <xf numFmtId="10" fontId="13" fillId="0" borderId="1" applyAlignment="1" pivotButton="0" quotePrefix="0" xfId="0">
      <alignment horizontal="center" vertical="center"/>
    </xf>
    <xf numFmtId="0" fontId="13" fillId="8" borderId="1" applyAlignment="1" pivotButton="0" quotePrefix="0" xfId="19">
      <alignment horizontal="center" vertical="center" wrapText="1"/>
    </xf>
    <xf numFmtId="0" fontId="13" fillId="8" borderId="1" applyAlignment="1" pivotButton="0" quotePrefix="0" xfId="0">
      <alignment horizontal="center" vertical="center"/>
    </xf>
    <xf numFmtId="164" fontId="13" fillId="8" borderId="1" applyAlignment="1" pivotButton="0" quotePrefix="0" xfId="19">
      <alignment horizontal="center" vertical="center"/>
    </xf>
    <xf numFmtId="164" fontId="13" fillId="3" borderId="1" applyAlignment="1" pivotButton="0" quotePrefix="0" xfId="19">
      <alignment horizontal="center" vertical="center" wrapText="1"/>
    </xf>
    <xf numFmtId="0" fontId="6" fillId="0" borderId="4" applyAlignment="1" pivotButton="0" quotePrefix="0" xfId="0">
      <alignment horizontal="general" vertical="center"/>
    </xf>
    <xf numFmtId="0" fontId="14" fillId="0" borderId="18" applyAlignment="1" pivotButton="0" quotePrefix="0" xfId="0">
      <alignment horizontal="general" vertical="center"/>
    </xf>
    <xf numFmtId="0" fontId="14" fillId="0" borderId="19" applyAlignment="1" pivotButton="0" quotePrefix="0" xfId="0">
      <alignment horizontal="general" vertical="center"/>
    </xf>
    <xf numFmtId="0" fontId="6" fillId="9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general" vertical="center" wrapText="1"/>
    </xf>
    <xf numFmtId="0" fontId="21" fillId="9" borderId="0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general" vertical="center"/>
    </xf>
    <xf numFmtId="0" fontId="24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right" vertical="center" wrapText="1"/>
    </xf>
    <xf numFmtId="0" fontId="6" fillId="9" borderId="10" applyAlignment="1" pivotButton="0" quotePrefix="0" xfId="0">
      <alignment horizontal="general" vertical="center"/>
    </xf>
    <xf numFmtId="0" fontId="25" fillId="9" borderId="0" applyAlignment="1" pivotButton="0" quotePrefix="0" xfId="0">
      <alignment horizontal="general" vertical="center"/>
    </xf>
    <xf numFmtId="0" fontId="0" fillId="9" borderId="0" applyAlignment="1" pivotButton="0" quotePrefix="0" xfId="0">
      <alignment horizontal="general" vertical="center" wrapText="1"/>
    </xf>
    <xf numFmtId="0" fontId="26" fillId="9" borderId="0" applyAlignment="1" pivotButton="0" quotePrefix="0" xfId="0">
      <alignment horizontal="center" vertical="bottom"/>
    </xf>
    <xf numFmtId="0" fontId="0" fillId="9" borderId="0" applyAlignment="1" pivotButton="0" quotePrefix="0" xfId="0">
      <alignment horizontal="general" vertical="center"/>
    </xf>
    <xf numFmtId="0" fontId="0" fillId="9" borderId="12" applyAlignment="1" pivotButton="0" quotePrefix="0" xfId="0">
      <alignment horizontal="general" vertical="center"/>
    </xf>
    <xf numFmtId="0" fontId="24" fillId="0" borderId="20" applyAlignment="1" pivotButton="0" quotePrefix="0" xfId="0">
      <alignment horizontal="general" vertical="center"/>
    </xf>
    <xf numFmtId="0" fontId="6" fillId="9" borderId="14" applyAlignment="1" pivotButton="0" quotePrefix="0" xfId="0">
      <alignment horizontal="general" vertical="center"/>
    </xf>
    <xf numFmtId="0" fontId="32" fillId="0" borderId="17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19">
      <alignment horizontal="center" vertical="center"/>
    </xf>
    <xf numFmtId="166" fontId="13" fillId="0" borderId="0" applyAlignment="1" pivotButton="0" quotePrefix="0" xfId="19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0" fillId="0" borderId="22" pivotButton="0" quotePrefix="0" xfId="0"/>
    <xf numFmtId="0" fontId="29" fillId="0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30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0" borderId="23" pivotButton="0" quotePrefix="0" xfId="0"/>
    <xf numFmtId="0" fontId="29" fillId="3" borderId="1" applyAlignment="1" pivotButton="0" quotePrefix="0" xfId="0">
      <alignment horizontal="center" vertical="center" wrapText="1"/>
    </xf>
    <xf numFmtId="164" fontId="7" fillId="0" borderId="1" applyAlignment="1" pivotButton="0" quotePrefix="0" xfId="2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165" fontId="13" fillId="0" borderId="1" applyAlignment="1" pivotButton="0" quotePrefix="0" xfId="19">
      <alignment horizontal="center" vertical="center"/>
    </xf>
    <xf numFmtId="164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19">
      <alignment horizontal="center" vertical="center"/>
    </xf>
    <xf numFmtId="164" fontId="13" fillId="2" borderId="1" applyAlignment="1" pivotButton="0" quotePrefix="0" xfId="19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3" borderId="1" applyAlignment="1" pivotButton="0" quotePrefix="0" xfId="19">
      <alignment horizontal="center" vertical="center" wrapText="1"/>
    </xf>
    <xf numFmtId="10" fontId="13" fillId="0" borderId="1" applyAlignment="1" pivotButton="0" quotePrefix="0" xfId="0">
      <alignment horizontal="center" vertical="center"/>
    </xf>
    <xf numFmtId="164" fontId="13" fillId="3" borderId="1" applyAlignment="1" pivotButton="0" quotePrefix="0" xfId="19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3" fillId="8" borderId="1" applyAlignment="1" pivotButton="0" quotePrefix="0" xfId="19">
      <alignment horizontal="center" vertical="center" wrapText="1"/>
    </xf>
    <xf numFmtId="0" fontId="13" fillId="8" borderId="1" applyAlignment="1" pivotButton="0" quotePrefix="0" xfId="0">
      <alignment horizontal="center" vertical="center"/>
    </xf>
    <xf numFmtId="164" fontId="13" fillId="8" borderId="1" applyAlignment="1" pivotButton="0" quotePrefix="0" xfId="19">
      <alignment horizontal="center" vertical="center"/>
    </xf>
    <xf numFmtId="164" fontId="13" fillId="3" borderId="1" applyAlignment="1" pivotButton="0" quotePrefix="0" xfId="19">
      <alignment horizontal="center" vertical="center" wrapText="1"/>
    </xf>
    <xf numFmtId="0" fontId="6" fillId="0" borderId="4" applyAlignment="1" pivotButton="0" quotePrefix="0" xfId="0">
      <alignment horizontal="general" vertical="center"/>
    </xf>
    <xf numFmtId="0" fontId="14" fillId="0" borderId="18" applyAlignment="1" pivotButton="0" quotePrefix="0" xfId="0">
      <alignment horizontal="general" vertical="center"/>
    </xf>
    <xf numFmtId="0" fontId="14" fillId="0" borderId="19" applyAlignment="1" pivotButton="0" quotePrefix="0" xfId="0">
      <alignment horizontal="general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常规_Sheet1" xfId="6"/>
  </cellStyles>
  <dxfs count="118"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FF339966"/>
        <sz val="12"/>
      </font>
    </dxf>
    <dxf>
      <font>
        <name val="宋体"/>
        <charset val="134"/>
        <family val="0"/>
        <color rgb="FFFF0000"/>
        <sz val="12"/>
      </font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FF339966"/>
        <sz val="12"/>
      </font>
    </dxf>
    <dxf>
      <font>
        <name val="宋体"/>
        <charset val="134"/>
        <family val="0"/>
        <color rgb="FFFF0000"/>
        <sz val="12"/>
      </font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FF339966"/>
        <sz val="12"/>
      </font>
    </dxf>
    <dxf>
      <font>
        <name val="宋体"/>
        <charset val="134"/>
        <family val="0"/>
        <color rgb="FFFF0000"/>
        <sz val="12"/>
      </font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609375" defaultRowHeight="15.75" zeroHeight="0" outlineLevelRow="0"/>
  <cols>
    <col width="8.369999999999999" customWidth="1" style="152" min="1" max="1"/>
    <col width="8.69" customWidth="1" style="152" min="2" max="2"/>
    <col width="7.62" customWidth="1" style="152" min="3" max="3"/>
    <col width="9.619999999999999" customWidth="1" style="152" min="4" max="4"/>
    <col hidden="1" width="10.69" customWidth="1" style="152" min="5" max="5"/>
    <col hidden="1" width="9.869999999999999" customWidth="1" style="152" min="6" max="6"/>
    <col hidden="1" width="13.27" customWidth="1" style="152" min="7" max="7"/>
    <col hidden="1" width="11.12" customWidth="1" style="152" min="8" max="8"/>
    <col hidden="1" width="13.27" customWidth="1" style="152" min="9" max="9"/>
    <col width="13.12" customWidth="1" style="152" min="10" max="11"/>
    <col hidden="1" width="10.69" customWidth="1" style="152" min="12" max="12"/>
    <col width="11.5" customWidth="1" style="152" min="13" max="13"/>
    <col width="10.93" customWidth="1" style="152" min="14" max="14"/>
    <col hidden="1" width="15.62" customWidth="1" style="152" min="15" max="15"/>
    <col hidden="1" width="10.78" customWidth="1" style="152" min="16" max="17"/>
    <col hidden="1" width="15.62" customWidth="1" style="152" min="18" max="18"/>
    <col hidden="1" width="13.74" customWidth="1" style="152" min="19" max="19"/>
    <col hidden="1" width="10.69" customWidth="1" style="152" min="20" max="20"/>
    <col width="10.69" customWidth="1" style="152" min="21" max="21"/>
    <col width="12.36" customWidth="1" style="152" min="22" max="22"/>
    <col hidden="1" width="7.64" customWidth="1" style="153" min="23" max="23"/>
    <col width="11.39" customWidth="1" style="153" min="24" max="24"/>
    <col hidden="1" width="11.66" customWidth="1" style="153" min="25" max="25"/>
    <col hidden="1" width="11.52" customWidth="1" style="153" min="26" max="26"/>
    <col width="11.52" customWidth="1" style="153" min="27" max="27"/>
    <col width="13.12" customWidth="1" style="153" min="28" max="28"/>
    <col hidden="1" width="11.52" customWidth="1" style="153" min="29" max="33"/>
    <col width="7.5" customWidth="1" style="152" min="34" max="34"/>
  </cols>
  <sheetData>
    <row r="1" ht="45" customHeight="1" s="154">
      <c r="A1" s="155" t="inlineStr">
        <is>
          <t>阜阳分行私人银行核心指标通报（2026年10月24日）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7" t="n"/>
      <c r="AM1" s="152" t="inlineStr">
        <is>
          <t>9.14做的</t>
        </is>
      </c>
    </row>
    <row r="2" ht="21" customHeight="1" s="154">
      <c r="A2" s="158" t="inlineStr">
        <is>
          <t>单位：万元、户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7" t="n"/>
    </row>
    <row r="3" ht="37" customHeight="1" s="154">
      <c r="A3" s="159" t="inlineStr">
        <is>
          <t>支行</t>
        </is>
      </c>
      <c r="B3" s="160" t="inlineStr">
        <is>
          <t>当月全量日均600万元以上客户与资产</t>
        </is>
      </c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7" t="n"/>
      <c r="O3" s="161" t="inlineStr">
        <is>
          <t>其中：域外月日均资产600万元以上客户</t>
        </is>
      </c>
      <c r="P3" s="156" t="n"/>
      <c r="Q3" s="156" t="n"/>
      <c r="R3" s="156" t="n"/>
      <c r="S3" s="156" t="n"/>
      <c r="T3" s="157" t="n"/>
      <c r="U3" s="162" t="inlineStr">
        <is>
          <t>私银产品销售情况</t>
        </is>
      </c>
      <c r="V3" s="156" t="n"/>
      <c r="W3" s="156" t="n"/>
      <c r="X3" s="156" t="n"/>
      <c r="Y3" s="156" t="n"/>
      <c r="Z3" s="156" t="n"/>
      <c r="AA3" s="156" t="n"/>
      <c r="AB3" s="157" t="n"/>
      <c r="AC3" s="160" t="inlineStr">
        <is>
          <t>四项重点产品渗透率</t>
        </is>
      </c>
      <c r="AD3" s="156" t="n"/>
      <c r="AE3" s="156" t="n"/>
      <c r="AF3" s="156" t="n"/>
      <c r="AG3" s="157" t="n"/>
      <c r="AH3" s="159" t="inlineStr">
        <is>
          <t>支行</t>
        </is>
      </c>
    </row>
    <row r="4" ht="38" customHeight="1" s="154">
      <c r="A4" s="163" t="n"/>
      <c r="B4" s="164" t="inlineStr">
        <is>
          <t>客户（户）</t>
        </is>
      </c>
      <c r="C4" s="156" t="n"/>
      <c r="D4" s="156" t="n"/>
      <c r="E4" s="156" t="n"/>
      <c r="F4" s="156" t="n"/>
      <c r="G4" s="156" t="n"/>
      <c r="H4" s="156" t="n"/>
      <c r="I4" s="157" t="n"/>
      <c r="J4" s="164" t="inlineStr">
        <is>
          <t>达标客户资产（万元）</t>
        </is>
      </c>
      <c r="K4" s="156" t="n"/>
      <c r="L4" s="156" t="n"/>
      <c r="M4" s="157" t="n"/>
      <c r="N4" s="165" t="inlineStr">
        <is>
          <t>其中：日均存款</t>
        </is>
      </c>
      <c r="O4" s="160" t="inlineStr">
        <is>
          <t>客户（户）</t>
        </is>
      </c>
      <c r="P4" s="156" t="n"/>
      <c r="Q4" s="157" t="n"/>
      <c r="R4" s="160" t="inlineStr">
        <is>
          <t>资产（万元）</t>
        </is>
      </c>
      <c r="S4" s="156" t="n"/>
      <c r="T4" s="157" t="n"/>
      <c r="U4" s="166" t="inlineStr">
        <is>
          <t>私银遴选产品规模</t>
        </is>
      </c>
      <c r="V4" s="157" t="n"/>
      <c r="W4" s="167" t="n"/>
      <c r="X4" s="166" t="inlineStr">
        <is>
          <t xml:space="preserve">私银快贷     </t>
        </is>
      </c>
      <c r="Y4" s="166" t="inlineStr">
        <is>
          <t>当年家族信托</t>
        </is>
      </c>
      <c r="Z4" s="166" t="inlineStr">
        <is>
          <t>二季度私银专属期交保险销售</t>
        </is>
      </c>
      <c r="AA4" s="166" t="inlineStr">
        <is>
          <t>当年家族信托</t>
        </is>
      </c>
      <c r="AB4" s="166" t="inlineStr">
        <is>
          <t>当年私银专属期交保险</t>
        </is>
      </c>
      <c r="AC4" s="168" t="inlineStr">
        <is>
          <t>理财渗透率</t>
        </is>
      </c>
      <c r="AD4" s="168" t="inlineStr">
        <is>
          <t>基金渗透率</t>
        </is>
      </c>
      <c r="AE4" s="168" t="inlineStr">
        <is>
          <t>保险渗透率</t>
        </is>
      </c>
      <c r="AF4" s="168" t="inlineStr">
        <is>
          <t>信用卡渗透率</t>
        </is>
      </c>
      <c r="AG4" s="168" t="inlineStr">
        <is>
          <t>四项综合渗透率</t>
        </is>
      </c>
      <c r="AH4" s="163" t="n"/>
    </row>
    <row r="5" ht="39" customHeight="1" s="154">
      <c r="A5" s="169" t="n"/>
      <c r="B5" s="164" t="inlineStr">
        <is>
          <t>客户数</t>
        </is>
      </c>
      <c r="C5" s="164" t="inlineStr">
        <is>
          <t>比上年</t>
        </is>
      </c>
      <c r="D5" s="164" t="inlineStr">
        <is>
          <t>比9月末</t>
        </is>
      </c>
      <c r="E5" s="164" t="inlineStr">
        <is>
          <t>本年增幅</t>
        </is>
      </c>
      <c r="F5" s="165" t="inlineStr">
        <is>
          <t>旺季营销目标</t>
        </is>
      </c>
      <c r="G5" s="165" t="inlineStr">
        <is>
          <t>旺季营销目标完成率</t>
        </is>
      </c>
      <c r="H5" s="165" t="inlineStr">
        <is>
          <t>其中：签约客户</t>
        </is>
      </c>
      <c r="I5" s="165" t="inlineStr">
        <is>
          <t>签约率</t>
        </is>
      </c>
      <c r="J5" s="164" t="inlineStr">
        <is>
          <t>资产</t>
        </is>
      </c>
      <c r="K5" s="164" t="inlineStr">
        <is>
          <t>比上年</t>
        </is>
      </c>
      <c r="L5" s="164" t="inlineStr">
        <is>
          <t>比上月</t>
        </is>
      </c>
      <c r="M5" s="164" t="inlineStr">
        <is>
          <t>比9月末</t>
        </is>
      </c>
      <c r="N5" s="165" t="inlineStr">
        <is>
          <t>余额</t>
        </is>
      </c>
      <c r="O5" s="165" t="inlineStr">
        <is>
          <t>异地客户数</t>
        </is>
      </c>
      <c r="P5" s="165" t="inlineStr">
        <is>
          <t>本地客户数</t>
        </is>
      </c>
      <c r="Q5" s="165" t="inlineStr">
        <is>
          <t>本地客户比上年</t>
        </is>
      </c>
      <c r="R5" s="165" t="inlineStr">
        <is>
          <t>异地客户资产</t>
        </is>
      </c>
      <c r="S5" s="165" t="inlineStr">
        <is>
          <t>本地客户资产</t>
        </is>
      </c>
      <c r="T5" s="165" t="inlineStr">
        <is>
          <t>本地资产比上年</t>
        </is>
      </c>
      <c r="U5" s="170" t="inlineStr">
        <is>
          <t>余额</t>
        </is>
      </c>
      <c r="V5" s="170" t="inlineStr">
        <is>
          <t>四季度增量</t>
        </is>
      </c>
      <c r="W5" s="170" t="inlineStr">
        <is>
          <t>拓户</t>
        </is>
      </c>
      <c r="X5" s="170" t="inlineStr">
        <is>
          <t>提款金额</t>
        </is>
      </c>
      <c r="Y5" s="170" t="inlineStr">
        <is>
          <t>已出单</t>
        </is>
      </c>
      <c r="Z5" s="170" t="inlineStr">
        <is>
          <t>已销售</t>
        </is>
      </c>
      <c r="AA5" s="170" t="inlineStr">
        <is>
          <t>已出单</t>
        </is>
      </c>
      <c r="AB5" s="170" t="inlineStr">
        <is>
          <t>已销售</t>
        </is>
      </c>
      <c r="AC5" s="169" t="n"/>
      <c r="AD5" s="169" t="n"/>
      <c r="AE5" s="169" t="n"/>
      <c r="AF5" s="169" t="n"/>
      <c r="AG5" s="169" t="n"/>
      <c r="AH5" s="169" t="n"/>
    </row>
    <row r="6" ht="25" customHeight="1" s="154">
      <c r="A6" s="171" t="inlineStr">
        <is>
          <t>颍州</t>
        </is>
      </c>
      <c r="B6" s="172" t="n">
        <v>38</v>
      </c>
      <c r="C6" s="172" t="n">
        <v>6</v>
      </c>
      <c r="D6" s="172" t="n">
        <v>4</v>
      </c>
      <c r="E6" s="173" t="n">
        <v>0.1875</v>
      </c>
      <c r="F6" s="172" t="n">
        <v>7</v>
      </c>
      <c r="G6" s="173" t="n">
        <v>1</v>
      </c>
      <c r="H6" s="172" t="n">
        <v>25</v>
      </c>
      <c r="I6" s="173" t="n">
        <v>0.657894736842105</v>
      </c>
      <c r="J6" s="174" t="n">
        <v>34538.646345</v>
      </c>
      <c r="K6" s="175" t="n">
        <v>4464.10785100001</v>
      </c>
      <c r="L6" s="175" t="n">
        <v>3042.087988</v>
      </c>
      <c r="M6" s="175" t="n">
        <v>3042.087988</v>
      </c>
      <c r="N6" s="175" t="n">
        <v>19666.392731</v>
      </c>
      <c r="O6" s="172" t="n">
        <v>2</v>
      </c>
      <c r="P6" s="172" t="n">
        <v>36</v>
      </c>
      <c r="Q6" s="172" t="n">
        <v>4</v>
      </c>
      <c r="R6" s="175" t="n">
        <v>1619.647735</v>
      </c>
      <c r="S6" s="175" t="n">
        <v>32918.99861</v>
      </c>
      <c r="T6" s="175" t="n">
        <v>2844.46011600001</v>
      </c>
      <c r="U6" s="176" t="n">
        <v>2237</v>
      </c>
      <c r="V6" s="177" t="n">
        <v>0</v>
      </c>
      <c r="W6" s="178" t="n">
        <v>4</v>
      </c>
      <c r="X6" s="177" t="n">
        <v>1191</v>
      </c>
      <c r="Y6" s="177" t="n">
        <v>0</v>
      </c>
      <c r="Z6" s="177" t="n">
        <v>100</v>
      </c>
      <c r="AA6" s="177" t="n">
        <v>0</v>
      </c>
      <c r="AB6" s="177" t="n">
        <v>100</v>
      </c>
      <c r="AC6" s="179" t="n">
        <v>0.763157894736842</v>
      </c>
      <c r="AD6" s="179" t="n">
        <v>0.526315789473684</v>
      </c>
      <c r="AE6" s="179" t="n">
        <v>0.289473684210526</v>
      </c>
      <c r="AF6" s="179" t="n">
        <v>0.578947368421053</v>
      </c>
      <c r="AG6" s="179" t="n">
        <v>2.15789473684211</v>
      </c>
      <c r="AH6" s="171" t="inlineStr">
        <is>
          <t>颍州</t>
        </is>
      </c>
      <c r="AI6" s="152" t="n">
        <v>29</v>
      </c>
      <c r="AJ6" s="152" t="n">
        <v>20</v>
      </c>
      <c r="AK6" s="152" t="n">
        <v>11</v>
      </c>
      <c r="AL6" s="152" t="n">
        <v>22</v>
      </c>
    </row>
    <row r="7" ht="25" customHeight="1" s="154">
      <c r="A7" s="171" t="inlineStr">
        <is>
          <t>颍泉</t>
        </is>
      </c>
      <c r="B7" s="172" t="n">
        <v>37</v>
      </c>
      <c r="C7" s="172" t="n">
        <v>5</v>
      </c>
      <c r="D7" s="172" t="n">
        <v>-1</v>
      </c>
      <c r="E7" s="173" t="n">
        <v>0.15625</v>
      </c>
      <c r="F7" s="172" t="n">
        <v>7</v>
      </c>
      <c r="G7" s="173" t="n">
        <v>1.57142857142857</v>
      </c>
      <c r="H7" s="172" t="n">
        <v>24</v>
      </c>
      <c r="I7" s="173" t="n">
        <v>0.648648648648649</v>
      </c>
      <c r="J7" s="174" t="n">
        <v>44611.913986</v>
      </c>
      <c r="K7" s="175" t="n">
        <v>15287.92323</v>
      </c>
      <c r="L7" s="175" t="n">
        <v>-2466.294164</v>
      </c>
      <c r="M7" s="175" t="n">
        <v>-2466.294164</v>
      </c>
      <c r="N7" s="175" t="n">
        <v>21407.075498</v>
      </c>
      <c r="O7" s="172" t="n">
        <v>4</v>
      </c>
      <c r="P7" s="172" t="n">
        <v>33</v>
      </c>
      <c r="Q7" s="172" t="n">
        <v>1</v>
      </c>
      <c r="R7" s="175" t="n">
        <v>3780.125243</v>
      </c>
      <c r="S7" s="175" t="n">
        <v>40831.788743</v>
      </c>
      <c r="T7" s="175" t="n">
        <v>11507.797987</v>
      </c>
      <c r="U7" s="180" t="n">
        <v>685</v>
      </c>
      <c r="V7" s="177" t="n">
        <v>0</v>
      </c>
      <c r="W7" s="178" t="n">
        <v>2</v>
      </c>
      <c r="X7" s="177" t="n">
        <v>0</v>
      </c>
      <c r="Y7" s="177" t="n">
        <v>500</v>
      </c>
      <c r="Z7" s="177" t="n">
        <v>0</v>
      </c>
      <c r="AA7" s="177" t="n">
        <v>500</v>
      </c>
      <c r="AB7" s="177" t="n">
        <v>0</v>
      </c>
      <c r="AC7" s="179" t="n">
        <v>0.72972972972973</v>
      </c>
      <c r="AD7" s="179" t="n">
        <v>0.351351351351351</v>
      </c>
      <c r="AE7" s="179" t="n">
        <v>0.108108108108108</v>
      </c>
      <c r="AF7" s="179" t="n">
        <v>0.486486486486487</v>
      </c>
      <c r="AG7" s="179" t="n">
        <v>1.67567567567568</v>
      </c>
      <c r="AH7" s="171" t="inlineStr">
        <is>
          <t>颍泉</t>
        </is>
      </c>
      <c r="AI7" s="152" t="n">
        <v>27</v>
      </c>
      <c r="AJ7" s="152" t="n">
        <v>13</v>
      </c>
      <c r="AK7" s="152" t="n">
        <v>4</v>
      </c>
      <c r="AL7" s="152" t="n">
        <v>18</v>
      </c>
    </row>
    <row r="8" ht="25" customHeight="1" s="154">
      <c r="A8" s="171" t="inlineStr">
        <is>
          <t>颍东</t>
        </is>
      </c>
      <c r="B8" s="172" t="n">
        <v>19</v>
      </c>
      <c r="C8" s="172" t="n">
        <v>-2</v>
      </c>
      <c r="D8" s="172" t="n">
        <v>2</v>
      </c>
      <c r="E8" s="173" t="n">
        <v>-0.09523809523809521</v>
      </c>
      <c r="F8" s="172" t="n">
        <v>6</v>
      </c>
      <c r="G8" s="173" t="n">
        <v>0</v>
      </c>
      <c r="H8" s="172" t="n">
        <v>12</v>
      </c>
      <c r="I8" s="173" t="n">
        <v>0.631578947368421</v>
      </c>
      <c r="J8" s="174" t="n">
        <v>24800.839876</v>
      </c>
      <c r="K8" s="175" t="n">
        <v>-488.941545000002</v>
      </c>
      <c r="L8" s="175" t="n">
        <v>1494.876989</v>
      </c>
      <c r="M8" s="175" t="n">
        <v>1494.876989</v>
      </c>
      <c r="N8" s="175" t="n">
        <v>13840.151883</v>
      </c>
      <c r="O8" s="181" t="n">
        <v>8</v>
      </c>
      <c r="P8" s="172" t="n">
        <v>11</v>
      </c>
      <c r="Q8" s="172" t="n">
        <v>-10</v>
      </c>
      <c r="R8" s="175" t="n">
        <v>12784.218963</v>
      </c>
      <c r="S8" s="175" t="n">
        <v>12016.620913</v>
      </c>
      <c r="T8" s="175" t="n">
        <v>-13273.160508</v>
      </c>
      <c r="U8" s="176" t="n">
        <v>3317</v>
      </c>
      <c r="V8" s="177" t="n">
        <v>60</v>
      </c>
      <c r="W8" s="182" t="n">
        <v>0</v>
      </c>
      <c r="X8" s="183" t="n">
        <v>0</v>
      </c>
      <c r="Y8" s="183" t="n">
        <v>0</v>
      </c>
      <c r="Z8" s="183" t="n">
        <v>0</v>
      </c>
      <c r="AA8" s="183" t="n">
        <v>0</v>
      </c>
      <c r="AB8" s="177" t="n">
        <v>0</v>
      </c>
      <c r="AC8" s="179" t="n">
        <v>0.578947368421053</v>
      </c>
      <c r="AD8" s="179" t="n">
        <v>0.421052631578947</v>
      </c>
      <c r="AE8" s="179" t="n">
        <v>0.157894736842105</v>
      </c>
      <c r="AF8" s="179" t="n">
        <v>0.368421052631579</v>
      </c>
      <c r="AG8" s="179" t="n">
        <v>1.52631578947368</v>
      </c>
      <c r="AH8" s="171" t="inlineStr">
        <is>
          <t>颍东</t>
        </is>
      </c>
      <c r="AI8" s="152" t="n">
        <v>11</v>
      </c>
      <c r="AJ8" s="152" t="n">
        <v>8</v>
      </c>
      <c r="AK8" s="152" t="n">
        <v>3</v>
      </c>
      <c r="AL8" s="152" t="n">
        <v>7</v>
      </c>
    </row>
    <row r="9" ht="25" customHeight="1" s="154">
      <c r="A9" s="171" t="inlineStr">
        <is>
          <t>界首</t>
        </is>
      </c>
      <c r="B9" s="172" t="n">
        <v>18</v>
      </c>
      <c r="C9" s="172" t="n">
        <v>1</v>
      </c>
      <c r="D9" s="172" t="n">
        <v>2</v>
      </c>
      <c r="E9" s="173" t="n">
        <v>0.0588235294117647</v>
      </c>
      <c r="F9" s="172" t="n">
        <v>5</v>
      </c>
      <c r="G9" s="173" t="n">
        <v>0</v>
      </c>
      <c r="H9" s="172" t="n">
        <v>13</v>
      </c>
      <c r="I9" s="173" t="n">
        <v>0.722222222222222</v>
      </c>
      <c r="J9" s="174" t="n">
        <v>16493.694231</v>
      </c>
      <c r="K9" s="175" t="n">
        <v>835.726169999999</v>
      </c>
      <c r="L9" s="175" t="n">
        <v>2548.432597</v>
      </c>
      <c r="M9" s="175" t="n">
        <v>2548.432597</v>
      </c>
      <c r="N9" s="175" t="n">
        <v>12810.887495</v>
      </c>
      <c r="O9" s="172" t="n">
        <v>1</v>
      </c>
      <c r="P9" s="172" t="n">
        <v>17</v>
      </c>
      <c r="Q9" s="172" t="n">
        <v>0</v>
      </c>
      <c r="R9" s="175" t="n">
        <v>600.051003</v>
      </c>
      <c r="S9" s="175" t="n">
        <v>15893.643228</v>
      </c>
      <c r="T9" s="175" t="n">
        <v>235.675166999999</v>
      </c>
      <c r="U9" s="184" t="n">
        <v>0</v>
      </c>
      <c r="V9" s="177" t="n">
        <v>0</v>
      </c>
      <c r="W9" s="182" t="n">
        <v>1</v>
      </c>
      <c r="X9" s="183" t="n">
        <v>0</v>
      </c>
      <c r="Y9" s="183" t="n">
        <v>0</v>
      </c>
      <c r="Z9" s="183" t="n">
        <v>0</v>
      </c>
      <c r="AA9" s="183" t="n">
        <v>0</v>
      </c>
      <c r="AB9" s="183" t="n">
        <v>0</v>
      </c>
      <c r="AC9" s="179" t="n">
        <v>0.555555555555556</v>
      </c>
      <c r="AD9" s="179" t="n">
        <v>0.555555555555556</v>
      </c>
      <c r="AE9" s="179" t="n">
        <v>0.222222222222222</v>
      </c>
      <c r="AF9" s="179" t="n">
        <v>0.5</v>
      </c>
      <c r="AG9" s="179" t="n">
        <v>1.83333333333333</v>
      </c>
      <c r="AH9" s="171" t="inlineStr">
        <is>
          <t>界首</t>
        </is>
      </c>
      <c r="AI9" s="152" t="n">
        <v>10</v>
      </c>
      <c r="AJ9" s="152" t="n">
        <v>10</v>
      </c>
      <c r="AK9" s="152" t="n">
        <v>4</v>
      </c>
      <c r="AL9" s="152" t="n">
        <v>9</v>
      </c>
    </row>
    <row r="10" ht="25" customHeight="1" s="154">
      <c r="A10" s="171" t="inlineStr">
        <is>
          <t>临泉</t>
        </is>
      </c>
      <c r="B10" s="172" t="n">
        <v>20</v>
      </c>
      <c r="C10" s="172" t="n">
        <v>3</v>
      </c>
      <c r="D10" s="172" t="n">
        <v>3</v>
      </c>
      <c r="E10" s="173" t="n">
        <v>0.176470588235294</v>
      </c>
      <c r="F10" s="172" t="n">
        <v>5</v>
      </c>
      <c r="G10" s="173" t="n">
        <v>0.4</v>
      </c>
      <c r="H10" s="172" t="n">
        <v>18</v>
      </c>
      <c r="I10" s="173" t="n">
        <v>0.9</v>
      </c>
      <c r="J10" s="174" t="n">
        <v>20337.346889</v>
      </c>
      <c r="K10" s="175" t="n">
        <v>3945.289574</v>
      </c>
      <c r="L10" s="175" t="n">
        <v>2917.954654</v>
      </c>
      <c r="M10" s="175" t="n">
        <v>2917.954654</v>
      </c>
      <c r="N10" s="175" t="n">
        <v>14235.0588</v>
      </c>
      <c r="O10" s="172" t="n">
        <v>1</v>
      </c>
      <c r="P10" s="172" t="n">
        <v>19</v>
      </c>
      <c r="Q10" s="172" t="n">
        <v>2</v>
      </c>
      <c r="R10" s="175" t="n">
        <v>829.805909</v>
      </c>
      <c r="S10" s="175" t="n">
        <v>19507.54098</v>
      </c>
      <c r="T10" s="175" t="n">
        <v>3115.483665</v>
      </c>
      <c r="U10" s="180" t="n">
        <v>990</v>
      </c>
      <c r="V10" s="177" t="n">
        <v>0</v>
      </c>
      <c r="W10" s="178" t="n">
        <v>4</v>
      </c>
      <c r="X10" s="177" t="n">
        <v>300</v>
      </c>
      <c r="Y10" s="177" t="n">
        <v>0</v>
      </c>
      <c r="Z10" s="177" t="n">
        <v>0</v>
      </c>
      <c r="AA10" s="177" t="n">
        <v>0</v>
      </c>
      <c r="AB10" s="177" t="n">
        <v>33</v>
      </c>
      <c r="AC10" s="179" t="n">
        <v>0.6</v>
      </c>
      <c r="AD10" s="179" t="n">
        <v>0.35</v>
      </c>
      <c r="AE10" s="179" t="n">
        <v>0.15</v>
      </c>
      <c r="AF10" s="179" t="n">
        <v>0.45</v>
      </c>
      <c r="AG10" s="179" t="n">
        <v>1.55</v>
      </c>
      <c r="AH10" s="171" t="inlineStr">
        <is>
          <t>临泉</t>
        </is>
      </c>
      <c r="AI10" s="152" t="n">
        <v>12</v>
      </c>
      <c r="AJ10" s="152" t="n">
        <v>7</v>
      </c>
      <c r="AK10" s="152" t="n">
        <v>3</v>
      </c>
      <c r="AL10" s="152" t="n">
        <v>9</v>
      </c>
    </row>
    <row r="11" ht="25" customHeight="1" s="154">
      <c r="A11" s="171" t="inlineStr">
        <is>
          <t>阜南</t>
        </is>
      </c>
      <c r="B11" s="172" t="n">
        <v>23</v>
      </c>
      <c r="C11" s="172" t="n">
        <v>7</v>
      </c>
      <c r="D11" s="172" t="n">
        <v>2</v>
      </c>
      <c r="E11" s="173" t="n">
        <v>0.4375</v>
      </c>
      <c r="F11" s="172" t="n">
        <v>5</v>
      </c>
      <c r="G11" s="173" t="n">
        <v>1</v>
      </c>
      <c r="H11" s="172" t="n">
        <v>14</v>
      </c>
      <c r="I11" s="173" t="n">
        <v>0.608695652173913</v>
      </c>
      <c r="J11" s="174" t="n">
        <v>20360.12962</v>
      </c>
      <c r="K11" s="175" t="n">
        <v>5290.96799</v>
      </c>
      <c r="L11" s="175" t="n">
        <v>1893.626198</v>
      </c>
      <c r="M11" s="175" t="n">
        <v>1893.626198</v>
      </c>
      <c r="N11" s="175" t="n">
        <v>11091.655917</v>
      </c>
      <c r="O11" s="172" t="n">
        <v>4</v>
      </c>
      <c r="P11" s="172" t="n">
        <v>19</v>
      </c>
      <c r="Q11" s="172" t="n">
        <v>3</v>
      </c>
      <c r="R11" s="175" t="n">
        <v>4842.742157</v>
      </c>
      <c r="S11" s="175" t="n">
        <v>15517.387463</v>
      </c>
      <c r="T11" s="175" t="n">
        <v>448.225832999999</v>
      </c>
      <c r="U11" s="184" t="n">
        <v>190</v>
      </c>
      <c r="V11" s="177" t="n">
        <v>0</v>
      </c>
      <c r="W11" s="178" t="n">
        <v>1</v>
      </c>
      <c r="X11" s="177" t="n">
        <v>40</v>
      </c>
      <c r="Y11" s="177" t="n">
        <v>600</v>
      </c>
      <c r="Z11" s="177" t="n">
        <v>100</v>
      </c>
      <c r="AA11" s="177" t="n">
        <v>600</v>
      </c>
      <c r="AB11" s="177" t="n">
        <v>100</v>
      </c>
      <c r="AC11" s="179" t="n">
        <v>0.608695652173913</v>
      </c>
      <c r="AD11" s="179" t="n">
        <v>0.608695652173913</v>
      </c>
      <c r="AE11" s="179" t="n">
        <v>0.304347826086957</v>
      </c>
      <c r="AF11" s="179" t="n">
        <v>0.521739130434783</v>
      </c>
      <c r="AG11" s="179" t="n">
        <v>2.04347826086957</v>
      </c>
      <c r="AH11" s="171" t="inlineStr">
        <is>
          <t>阜南</t>
        </is>
      </c>
      <c r="AI11" s="152" t="n">
        <v>14</v>
      </c>
      <c r="AJ11" s="152" t="n">
        <v>14</v>
      </c>
      <c r="AK11" s="152" t="n">
        <v>7</v>
      </c>
      <c r="AL11" s="152" t="n">
        <v>12</v>
      </c>
    </row>
    <row r="12" ht="25" customHeight="1" s="154">
      <c r="A12" s="171" t="inlineStr">
        <is>
          <t>颍上</t>
        </is>
      </c>
      <c r="B12" s="172" t="n">
        <v>11</v>
      </c>
      <c r="C12" s="172" t="n">
        <v>2</v>
      </c>
      <c r="D12" s="172" t="n">
        <v>2</v>
      </c>
      <c r="E12" s="173" t="n">
        <v>0.222222222222222</v>
      </c>
      <c r="F12" s="172" t="n">
        <v>6</v>
      </c>
      <c r="G12" s="173" t="n">
        <v>0.5</v>
      </c>
      <c r="H12" s="172" t="n">
        <v>13</v>
      </c>
      <c r="I12" s="173" t="n">
        <v>1.18181818181818</v>
      </c>
      <c r="J12" s="174" t="n">
        <v>8595.735232999999</v>
      </c>
      <c r="K12" s="175" t="n">
        <v>1945.598367</v>
      </c>
      <c r="L12" s="175" t="n">
        <v>660.528937</v>
      </c>
      <c r="M12" s="175" t="n">
        <v>660.528937</v>
      </c>
      <c r="N12" s="175" t="n">
        <v>5084.781072</v>
      </c>
      <c r="O12" s="172" t="n">
        <v>1</v>
      </c>
      <c r="P12" s="172" t="n">
        <v>10</v>
      </c>
      <c r="Q12" s="172" t="n">
        <v>1</v>
      </c>
      <c r="R12" s="175" t="n">
        <v>1026.159361</v>
      </c>
      <c r="S12" s="175" t="n">
        <v>7569.575872</v>
      </c>
      <c r="T12" s="175" t="n">
        <v>919.4390059999999</v>
      </c>
      <c r="U12" s="180" t="n">
        <v>954</v>
      </c>
      <c r="V12" s="177" t="n">
        <v>0</v>
      </c>
      <c r="W12" s="178" t="n">
        <v>2</v>
      </c>
      <c r="X12" s="177" t="n">
        <v>0</v>
      </c>
      <c r="Y12" s="177" t="n">
        <v>0</v>
      </c>
      <c r="Z12" s="177" t="n">
        <v>0</v>
      </c>
      <c r="AA12" s="177" t="n">
        <v>0</v>
      </c>
      <c r="AB12" s="177" t="n">
        <v>20</v>
      </c>
      <c r="AC12" s="179" t="n">
        <v>0.727272727272727</v>
      </c>
      <c r="AD12" s="179" t="n">
        <v>0.454545454545455</v>
      </c>
      <c r="AE12" s="179" t="n">
        <v>0.363636363636364</v>
      </c>
      <c r="AF12" s="179" t="n">
        <v>0.363636363636364</v>
      </c>
      <c r="AG12" s="179" t="n">
        <v>1.90909090909091</v>
      </c>
      <c r="AH12" s="171" t="inlineStr">
        <is>
          <t>颍上</t>
        </is>
      </c>
      <c r="AI12" s="152" t="n">
        <v>8</v>
      </c>
      <c r="AJ12" s="152" t="n">
        <v>5</v>
      </c>
      <c r="AK12" s="152" t="n">
        <v>4</v>
      </c>
      <c r="AL12" s="152" t="n">
        <v>4</v>
      </c>
    </row>
    <row r="13" ht="25" customHeight="1" s="154">
      <c r="A13" s="171" t="inlineStr">
        <is>
          <t>太和</t>
        </is>
      </c>
      <c r="B13" s="172" t="n">
        <v>86</v>
      </c>
      <c r="C13" s="172" t="n">
        <v>0</v>
      </c>
      <c r="D13" s="172" t="n">
        <v>-2</v>
      </c>
      <c r="E13" s="173" t="n">
        <v>0</v>
      </c>
      <c r="F13" s="172" t="n">
        <v>14</v>
      </c>
      <c r="G13" s="173" t="n">
        <v>-0.142857142857143</v>
      </c>
      <c r="H13" s="172" t="n">
        <v>77</v>
      </c>
      <c r="I13" s="173" t="n">
        <v>0.895348837209302</v>
      </c>
      <c r="J13" s="174" t="n">
        <v>99913.243267</v>
      </c>
      <c r="K13" s="175" t="n">
        <v>-497.928959000003</v>
      </c>
      <c r="L13" s="175" t="n">
        <v>-406.200761</v>
      </c>
      <c r="M13" s="175" t="n">
        <v>-406.200761</v>
      </c>
      <c r="N13" s="175" t="n">
        <v>65444.870196</v>
      </c>
      <c r="O13" s="172" t="n">
        <v>1</v>
      </c>
      <c r="P13" s="172" t="n">
        <v>85</v>
      </c>
      <c r="Q13" s="172" t="n">
        <v>-1</v>
      </c>
      <c r="R13" s="175" t="n">
        <v>1928.030255</v>
      </c>
      <c r="S13" s="175" t="n">
        <v>97985.21301199999</v>
      </c>
      <c r="T13" s="175" t="n">
        <v>-2425.959214</v>
      </c>
      <c r="U13" s="180" t="n">
        <v>1616</v>
      </c>
      <c r="V13" s="177" t="n">
        <v>100</v>
      </c>
      <c r="W13" s="178" t="n">
        <v>1</v>
      </c>
      <c r="X13" s="177" t="n">
        <v>0</v>
      </c>
      <c r="Y13" s="177" t="n">
        <v>2800</v>
      </c>
      <c r="Z13" s="177" t="n">
        <v>120</v>
      </c>
      <c r="AA13" s="177" t="n">
        <v>2800</v>
      </c>
      <c r="AB13" s="177" t="n">
        <v>170</v>
      </c>
      <c r="AC13" s="179" t="n">
        <v>0.593023255813954</v>
      </c>
      <c r="AD13" s="179" t="n">
        <v>0.27906976744186</v>
      </c>
      <c r="AE13" s="179" t="n">
        <v>0.302325581395349</v>
      </c>
      <c r="AF13" s="179" t="n">
        <v>0.569767441860465</v>
      </c>
      <c r="AG13" s="179" t="n">
        <v>1.74418604651163</v>
      </c>
      <c r="AH13" s="171" t="inlineStr">
        <is>
          <t>太和</t>
        </is>
      </c>
      <c r="AI13" s="152" t="n">
        <v>51</v>
      </c>
      <c r="AJ13" s="152" t="n">
        <v>24</v>
      </c>
      <c r="AK13" s="152" t="n">
        <v>26</v>
      </c>
      <c r="AL13" s="152" t="n">
        <v>49</v>
      </c>
    </row>
    <row r="14" ht="25" customHeight="1" s="154">
      <c r="A14" s="159" t="inlineStr">
        <is>
          <t>合计</t>
        </is>
      </c>
      <c r="B14" s="172" t="n">
        <v>252</v>
      </c>
      <c r="C14" s="172" t="n">
        <v>22</v>
      </c>
      <c r="D14" s="172" t="n">
        <v>12</v>
      </c>
      <c r="E14" s="173" t="n">
        <v>0.0956521739130435</v>
      </c>
      <c r="F14" s="172" t="n">
        <v>55</v>
      </c>
      <c r="G14" s="173" t="n">
        <v>0.472727272727273</v>
      </c>
      <c r="H14" s="172" t="n">
        <v>191</v>
      </c>
      <c r="I14" s="173" t="n">
        <v>0.757936507936508</v>
      </c>
      <c r="J14" s="174" t="n">
        <v>269651.549447</v>
      </c>
      <c r="K14" s="174" t="n">
        <v>30782.742678</v>
      </c>
      <c r="L14" s="174" t="n">
        <v>9685.012438000011</v>
      </c>
      <c r="M14" s="175" t="n">
        <v>9685.012438</v>
      </c>
      <c r="N14" s="175" t="n">
        <v>163580.873592</v>
      </c>
      <c r="O14" s="159" t="n">
        <v>22</v>
      </c>
      <c r="P14" s="159" t="n">
        <v>230</v>
      </c>
      <c r="Q14" s="159" t="n">
        <v>0</v>
      </c>
      <c r="R14" s="175" t="n">
        <v>27410.780626</v>
      </c>
      <c r="S14" s="175" t="n">
        <v>242240.768821</v>
      </c>
      <c r="T14" s="175" t="n">
        <v>3371.96205199996</v>
      </c>
      <c r="U14" s="180" t="n">
        <v>9989</v>
      </c>
      <c r="V14" s="185" t="n">
        <v>160</v>
      </c>
      <c r="W14" s="178" t="n">
        <v>15</v>
      </c>
      <c r="X14" s="178" t="n">
        <v>1531</v>
      </c>
      <c r="Y14" s="178" t="n">
        <v>3900</v>
      </c>
      <c r="Z14" s="178" t="n">
        <v>320</v>
      </c>
      <c r="AA14" s="178" t="n">
        <v>3900</v>
      </c>
      <c r="AB14" s="178" t="n">
        <v>423</v>
      </c>
      <c r="AC14" s="179" t="n">
        <v>0.642857142857143</v>
      </c>
      <c r="AD14" s="179" t="n">
        <v>0.400793650793651</v>
      </c>
      <c r="AE14" s="179" t="n">
        <v>0.246031746031746</v>
      </c>
      <c r="AF14" s="179" t="n">
        <v>0.515873015873016</v>
      </c>
      <c r="AG14" s="179" t="n">
        <v>1.80555555555556</v>
      </c>
      <c r="AH14" s="159" t="inlineStr">
        <is>
          <t>合计</t>
        </is>
      </c>
      <c r="AI14" s="152" t="n">
        <v>162</v>
      </c>
      <c r="AJ14" s="152" t="n">
        <v>101</v>
      </c>
      <c r="AK14" s="152" t="n">
        <v>62</v>
      </c>
      <c r="AL14" s="152" t="n">
        <v>130</v>
      </c>
    </row>
    <row r="15" hidden="1" ht="29" customHeight="1" s="154">
      <c r="A15" s="186" t="inlineStr">
        <is>
          <t>备注：因部分客户无归属支行，故合计数大于支行总计</t>
        </is>
      </c>
      <c r="B15" s="187" t="n"/>
      <c r="C15" s="187" t="n"/>
      <c r="D15" s="187" t="n"/>
      <c r="E15" s="187" t="n"/>
      <c r="F15" s="187" t="n"/>
      <c r="G15" s="187" t="n"/>
      <c r="H15" s="187" t="n"/>
      <c r="I15" s="187" t="n"/>
      <c r="J15" s="187" t="n"/>
      <c r="K15" s="187" t="n"/>
      <c r="L15" s="187" t="n"/>
      <c r="M15" s="187" t="n"/>
      <c r="N15" s="187" t="n"/>
      <c r="O15" s="187" t="n"/>
      <c r="P15" s="187" t="n"/>
      <c r="Q15" s="187" t="n"/>
      <c r="R15" s="187" t="n"/>
      <c r="S15" s="187" t="n"/>
      <c r="T15" s="187" t="n"/>
      <c r="U15" s="187" t="n"/>
      <c r="V15" s="187" t="n"/>
      <c r="W15" s="187" t="n"/>
      <c r="X15" s="187" t="n"/>
      <c r="Y15" s="187" t="n"/>
      <c r="Z15" s="187" t="n"/>
      <c r="AA15" s="187" t="n"/>
      <c r="AB15" s="187" t="n"/>
      <c r="AC15" s="187" t="n"/>
      <c r="AD15" s="187" t="n"/>
      <c r="AE15" s="187" t="n"/>
      <c r="AF15" s="187" t="n"/>
      <c r="AG15" s="187" t="n"/>
      <c r="AH15" s="188" t="n"/>
    </row>
    <row r="16" ht="20.25" customHeight="1" s="154"/>
    <row r="17" ht="20.25" customHeight="1" s="154"/>
    <row r="18" ht="47.25" customHeight="1" s="154"/>
    <row r="19" ht="15.75" customHeight="1" s="154"/>
    <row r="20" ht="15.75" customHeight="1" s="154"/>
    <row r="21" ht="15.75" customHeight="1" s="154"/>
    <row r="22" ht="15.75" customHeight="1" s="154"/>
    <row r="23" ht="15.75" customHeight="1" s="154"/>
    <row r="24" ht="15.75" customHeight="1" s="154"/>
    <row r="25" ht="15.75" customHeight="1" s="154"/>
    <row r="26" ht="15.75" customHeight="1" s="154"/>
    <row r="27" ht="15.75" customHeight="1" s="154"/>
    <row r="28" ht="15.75" customHeight="1" s="154"/>
    <row r="29" ht="15.75" customHeight="1" s="154"/>
    <row r="30" ht="15.75" customHeight="1" s="154"/>
    <row r="31" ht="15.75" customHeight="1" s="154"/>
    <row r="32" ht="15.75" customHeight="1" s="154"/>
    <row r="33" ht="15.75" customHeight="1" s="154"/>
    <row r="34" ht="15.75" customHeight="1" s="154"/>
    <row r="35" ht="18.75" customHeight="1" s="154"/>
    <row r="36" ht="37.5" customFormat="1" customHeight="1" s="153"/>
    <row r="37" ht="18.75" customHeight="1" s="154"/>
    <row r="38" ht="18.75" customHeight="1" s="154"/>
    <row r="39" ht="18.75" customHeight="1" s="154"/>
    <row r="40" ht="18.75" customHeight="1" s="154"/>
    <row r="41" ht="18.75" customHeight="1" s="154"/>
    <row r="42" ht="18.75" customHeight="1" s="154"/>
    <row r="43" ht="18.75" customHeight="1" s="154"/>
    <row r="44" ht="18.75" customHeight="1" s="154"/>
    <row r="45" ht="16" customHeight="1" s="154"/>
    <row r="46" ht="18.75" customHeight="1" s="154"/>
    <row r="47" ht="18.75" customHeight="1" s="154"/>
    <row r="48" ht="18.75" customHeight="1" s="154"/>
    <row r="49" ht="18.75" customHeight="1" s="154"/>
    <row r="50" ht="18.75" customHeight="1" s="154"/>
    <row r="51" ht="18.75" customHeight="1" s="154"/>
    <row r="52" ht="18.75" customHeight="1" s="154"/>
    <row r="53" ht="18.75" customHeight="1" s="154"/>
    <row r="54" ht="18.75" customHeight="1" s="154"/>
    <row r="55" ht="18.75" customHeight="1" s="154"/>
    <row r="56" ht="18.75" customHeight="1" s="154"/>
  </sheetData>
  <mergeCells count="27">
    <mergeCell ref="AI17:AJ17"/>
    <mergeCell ref="A2:AH2"/>
    <mergeCell ref="O4:Q4"/>
    <mergeCell ref="AF4:AF5"/>
    <mergeCell ref="K35:K36"/>
    <mergeCell ref="M35:M36"/>
    <mergeCell ref="AC3:AG3"/>
    <mergeCell ref="AC4:AC5"/>
    <mergeCell ref="B3:N3"/>
    <mergeCell ref="J35:J36"/>
    <mergeCell ref="O35:S35"/>
    <mergeCell ref="AH3:AH5"/>
    <mergeCell ref="U3:AB3"/>
    <mergeCell ref="AI16:AJ16"/>
    <mergeCell ref="U4:V4"/>
    <mergeCell ref="AD4:AD5"/>
    <mergeCell ref="A1:AH1"/>
    <mergeCell ref="O3:T3"/>
    <mergeCell ref="G35:G36"/>
    <mergeCell ref="A35:A36"/>
    <mergeCell ref="J4:M4"/>
    <mergeCell ref="A3:A5"/>
    <mergeCell ref="R4:T4"/>
    <mergeCell ref="AE4:AE5"/>
    <mergeCell ref="AG4:AG5"/>
    <mergeCell ref="B4:I4"/>
    <mergeCell ref="B35:F35"/>
  </mergeCells>
  <conditionalFormatting sqref="C6:C13">
    <cfRule type="expression" rank="0" priority="2" equalAverage="0" aboveAverage="0" dxfId="116" text="" percent="0" bottom="0">
      <formula>LARGE($C$6:$C$13,MIN(2,COUNT($C$6:$C$13)))&lt;=C6</formula>
    </cfRule>
    <cfRule type="expression" rank="0" priority="3" equalAverage="0" aboveAverage="0" dxfId="117" text="" percent="0" bottom="0">
      <formula>SMALL($C$6:$C$13,MIN(2,COUNT($C$6:$C$13)))&gt;=C6</formula>
    </cfRule>
  </conditionalFormatting>
  <conditionalFormatting sqref="D6:D13">
    <cfRule type="expression" rank="0" priority="4" equalAverage="0" aboveAverage="0" dxfId="116" text="" percent="0" bottom="0">
      <formula>LARGE($D$6:$D$13,MIN(2,COUNT($D$6:$D$13)))&lt;=D6</formula>
    </cfRule>
    <cfRule type="expression" rank="0" priority="5" equalAverage="0" aboveAverage="0" dxfId="117" text="" percent="0" bottom="0">
      <formula>SMALL($D$6:$D$13,MIN(2,COUNT($D$6:$D$13)))&gt;=D6</formula>
    </cfRule>
  </conditionalFormatting>
  <conditionalFormatting sqref="E6:E14">
    <cfRule type="expression" rank="0" priority="6" equalAverage="0" aboveAverage="0" dxfId="117" text="" percent="0" bottom="0">
      <formula>SMALL($E$6:$E$14,MIN(2,COUNT($E$6:$E$14)))&gt;=E6</formula>
    </cfRule>
    <cfRule type="expression" rank="0" priority="7" equalAverage="0" aboveAverage="0" dxfId="116" text="" percent="0" bottom="0">
      <formula>LARGE($E$6:$E$14,MIN(2,COUNT($E$6:$E$14)))&lt;=E6</formula>
    </cfRule>
  </conditionalFormatting>
  <conditionalFormatting sqref="E37:E44">
    <cfRule type="expression" rank="0" priority="8" equalAverage="0" aboveAverage="0" dxfId="117" text="" percent="0" bottom="0">
      <formula>SMALL($E$37:$E$44,MIN(2,COUNT($E$37:$E$44)))&gt;=E37</formula>
    </cfRule>
    <cfRule type="expression" rank="0" priority="9" equalAverage="0" aboveAverage="0" dxfId="116" text="" percent="0" bottom="0">
      <formula>LARGE($E$37:$E$44,MIN(2,COUNT($E$37:$E$44)))&lt;=E37</formula>
    </cfRule>
  </conditionalFormatting>
  <conditionalFormatting sqref="F37:F45">
    <cfRule type="expression" rank="0" priority="10" equalAverage="0" aboveAverage="0" dxfId="117" text="" percent="0" bottom="0">
      <formula>SMALL($F$37:$F$45,MIN(2,COUNT($F$37:$F$45)))&gt;=F37</formula>
    </cfRule>
    <cfRule type="expression" rank="0" priority="11" equalAverage="0" aboveAverage="0" dxfId="116" text="" percent="0" bottom="0">
      <formula>LARGE($F$37:$F$45,MIN(2,COUNT($F$37:$F$45)))&lt;=F37</formula>
    </cfRule>
  </conditionalFormatting>
  <conditionalFormatting sqref="I6:I13">
    <cfRule type="expression" rank="0" priority="12" equalAverage="0" aboveAverage="0" dxfId="117" text="" percent="0" bottom="0">
      <formula>SMALL($I$6:$I$13,MIN(2,COUNT($I$6:$I$13)))&gt;=I6</formula>
    </cfRule>
    <cfRule type="expression" rank="0" priority="13" equalAverage="0" aboveAverage="0" dxfId="116" text="" percent="0" bottom="0">
      <formula>LARGE($I$6:$I$13,MIN(2,COUNT($I$6:$I$13)))&lt;=I6</formula>
    </cfRule>
  </conditionalFormatting>
  <conditionalFormatting sqref="K6:K13">
    <cfRule type="expression" rank="0" priority="14" equalAverage="0" aboveAverage="0" dxfId="117" text="" percent="0" bottom="0">
      <formula>SMALL($K$6:$K$13,MIN(2,COUNT($K$6:$K$13)))&gt;=K6</formula>
    </cfRule>
    <cfRule type="expression" rank="0" priority="15" equalAverage="0" aboveAverage="0" dxfId="116" text="" percent="0" bottom="0">
      <formula>LARGE($K$6:$K$13,MIN(2,COUNT($K$6:$K$13)))&lt;=K6</formula>
    </cfRule>
  </conditionalFormatting>
  <conditionalFormatting sqref="M6:M13">
    <cfRule type="expression" rank="0" priority="16" equalAverage="0" aboveAverage="0" dxfId="117" text="" percent="0" bottom="0">
      <formula>SMALL($M$6:$M$13,MIN(2,COUNT($M$6:$M$13)))&gt;=M6</formula>
    </cfRule>
    <cfRule type="expression" rank="0" priority="17" equalAverage="0" aboveAverage="0" dxfId="116" text="" percent="0" bottom="0">
      <formula>LARGE($M$6:$M$13,MIN(2,COUNT($M$6:$M$13)))&lt;=M6</formula>
    </cfRule>
  </conditionalFormatting>
  <conditionalFormatting sqref="N6:N13">
    <cfRule type="expression" rank="0" priority="18" equalAverage="0" aboveAverage="0" dxfId="117" text="" percent="0" bottom="0">
      <formula>SMALL($N$6:$N$13,MIN(2,COUNT($N$6:$N$13)))&gt;=N6</formula>
    </cfRule>
    <cfRule type="expression" rank="0" priority="19" equalAverage="0" aboveAverage="0" dxfId="116" text="" percent="0" bottom="0">
      <formula>LARGE($N$6:$N$13,MIN(2,COUNT($N$6:$N$13)))&lt;=N6</formula>
    </cfRule>
  </conditionalFormatting>
  <conditionalFormatting sqref="O6:O13">
    <cfRule type="expression" rank="0" priority="20" equalAverage="0" aboveAverage="0" dxfId="117" text="" percent="0" bottom="0">
      <formula>SMALL($O$6:$O$13,MIN(2,COUNT($O$6:$O$13)))&gt;=O6</formula>
    </cfRule>
    <cfRule type="expression" rank="0" priority="21" equalAverage="0" aboveAverage="0" dxfId="116" text="" percent="0" bottom="0">
      <formula>LARGE($O$6:$O$13,MIN(2,COUNT($O$6:$O$13)))&lt;=O6</formula>
    </cfRule>
  </conditionalFormatting>
  <conditionalFormatting sqref="P6:P13">
    <cfRule type="expression" rank="0" priority="22" equalAverage="0" aboveAverage="0" dxfId="116" text="" percent="0" bottom="0">
      <formula>LARGE($P$6:$P$13,MIN(2,COUNT($P$6:$P$13)))&lt;=P6</formula>
    </cfRule>
    <cfRule type="expression" rank="0" priority="23" equalAverage="0" aboveAverage="0" dxfId="117" text="" percent="0" bottom="0">
      <formula>SMALL($P$6:$P$13,MIN(2,COUNT($P$6:$P$13)))&gt;=P6</formula>
    </cfRule>
  </conditionalFormatting>
  <conditionalFormatting sqref="Q6:Q13">
    <cfRule type="expression" rank="0" priority="24" equalAverage="0" aboveAverage="0" dxfId="116" text="" percent="0" bottom="0">
      <formula>LARGE($Q$6:$Q$13,MIN(2,COUNT($Q$6:$Q$13)))&lt;=Q6</formula>
    </cfRule>
    <cfRule type="expression" rank="0" priority="25" equalAverage="0" aboveAverage="0" dxfId="117" text="" percent="0" bottom="0">
      <formula>SMALL($Q$6:$Q$13,MIN(2,COUNT($Q$6:$Q$13)))&gt;=Q6</formula>
    </cfRule>
  </conditionalFormatting>
  <conditionalFormatting sqref="R6:R13">
    <cfRule type="expression" rank="0" priority="26" equalAverage="0" aboveAverage="0" dxfId="117" text="" percent="0" bottom="0">
      <formula>SMALL($R$6:$R$13,MIN(2,COUNT($R$6:$R$13)))&gt;=R6</formula>
    </cfRule>
    <cfRule type="expression" rank="0" priority="27" equalAverage="0" aboveAverage="0" dxfId="116" text="" percent="0" bottom="0">
      <formula>LARGE($R$6:$R$13,MIN(2,COUNT($R$6:$R$13)))&lt;=R6</formula>
    </cfRule>
  </conditionalFormatting>
  <conditionalFormatting sqref="S6:S13">
    <cfRule type="expression" rank="0" priority="28" equalAverage="0" aboveAverage="0" dxfId="117" text="" percent="0" bottom="0">
      <formula>SMALL($S$6:$S$13,MIN(2,COUNT($S$6:$S$13)))&gt;=S6</formula>
    </cfRule>
    <cfRule type="expression" rank="0" priority="29" equalAverage="0" aboveAverage="0" dxfId="116" text="" percent="0" bottom="0">
      <formula>LARGE($S$6:$S$13,MIN(2,COUNT($S$6:$S$13)))&lt;=S6</formula>
    </cfRule>
  </conditionalFormatting>
  <conditionalFormatting sqref="V6:V13">
    <cfRule type="expression" rank="0" priority="30" equalAverage="0" aboveAverage="0" dxfId="116" text="" percent="0" bottom="0">
      <formula>LARGE($V$6:$V$13,MIN(2,COUNT($V$6:$V$13)))&lt;=V6</formula>
    </cfRule>
  </conditionalFormatting>
  <conditionalFormatting sqref="X6:X13">
    <cfRule type="expression" rank="0" priority="31" equalAverage="0" aboveAverage="0" dxfId="116" text="" percent="0" bottom="0">
      <formula>LARGE($X$6:$X$13,MIN(2,COUNT($X$6:$X$13)))&lt;=X6</formula>
    </cfRule>
  </conditionalFormatting>
  <conditionalFormatting sqref="AA6:AA13">
    <cfRule type="expression" rank="0" priority="32" equalAverage="0" aboveAverage="0" dxfId="116" text="" percent="0" bottom="0">
      <formula>LARGE($AA$6:$AA$13,MIN(2,COUNT($AA$6:$AA$13)))&lt;=AA6</formula>
    </cfRule>
  </conditionalFormatting>
  <conditionalFormatting sqref="AB6:AB13">
    <cfRule type="expression" rank="0" priority="33" equalAverage="0" aboveAverage="0" dxfId="116" text="" percent="0" bottom="0">
      <formula>LARGE($AB$6:$AB$13,MIN(2,COUNT($AB$6:$AB$13)))&lt;=AB6</formula>
    </cfRule>
  </conditionalFormatting>
  <conditionalFormatting sqref="AC6:AC13">
    <cfRule type="expression" rank="0" priority="34" equalAverage="0" aboveAverage="0" dxfId="117" text="" percent="0" bottom="0">
      <formula>SMALL($AC$6:$AC$13,MIN(2,COUNT($AC$6:$AC$13)))&gt;=AC6</formula>
    </cfRule>
    <cfRule type="expression" rank="0" priority="35" equalAverage="0" aboveAverage="0" dxfId="116" text="" percent="0" bottom="0">
      <formula>LARGE($AC$6:$AC$13,MIN(2,COUNT($AC$6:$AC$13)))&lt;=AC6</formula>
    </cfRule>
  </conditionalFormatting>
  <conditionalFormatting sqref="AD6:AD13">
    <cfRule type="expression" rank="0" priority="36" equalAverage="0" aboveAverage="0" dxfId="117" text="" percent="0" bottom="0">
      <formula>SMALL($AD$6:$AD$13,MIN(2,COUNT($AD$6:$AD$13)))&gt;=AD6</formula>
    </cfRule>
    <cfRule type="expression" rank="0" priority="37" equalAverage="0" aboveAverage="0" dxfId="116" text="" percent="0" bottom="0">
      <formula>LARGE($AD$6:$AD$13,MIN(2,COUNT($AD$6:$AD$13)))&lt;=AD6</formula>
    </cfRule>
  </conditionalFormatting>
  <conditionalFormatting sqref="AE6:AE13">
    <cfRule type="expression" rank="0" priority="38" equalAverage="0" aboveAverage="0" dxfId="117" text="" percent="0" bottom="0">
      <formula>SMALL($AE$6:$AE$13,MIN(2,COUNT($AE$6:$AE$13)))&gt;=AE6</formula>
    </cfRule>
    <cfRule type="expression" rank="0" priority="39" equalAverage="0" aboveAverage="0" dxfId="116" text="" percent="0" bottom="0">
      <formula>LARGE($AE$6:$AE$13,MIN(2,COUNT($AE$6:$AE$13)))&lt;=AE6</formula>
    </cfRule>
  </conditionalFormatting>
  <conditionalFormatting sqref="AF6:AF13">
    <cfRule type="expression" rank="0" priority="40" equalAverage="0" aboveAverage="0" dxfId="117" text="" percent="0" bottom="0">
      <formula>SMALL($AF$6:$AF$13,MIN(2,COUNT($AF$6:$AF$13)))&gt;=AF6</formula>
    </cfRule>
    <cfRule type="expression" rank="0" priority="41" equalAverage="0" aboveAverage="0" dxfId="116" text="" percent="0" bottom="0">
      <formula>LARGE($AF$6:$AF$13,MIN(2,COUNT($AF$6:$AF$13)))&lt;=AF6</formula>
    </cfRule>
  </conditionalFormatting>
  <conditionalFormatting sqref="AG6:AG13">
    <cfRule type="expression" rank="0" priority="42" equalAverage="0" aboveAverage="0" dxfId="117" text="" percent="0" bottom="0">
      <formula>SMALL($AG$6:$AG$13,MIN(2,COUNT($AG$6:$AG$13)))&gt;=AG6</formula>
    </cfRule>
    <cfRule type="expression" rank="0" priority="43" equalAverage="0" aboveAverage="0" dxfId="116" text="" percent="0" bottom="0">
      <formula>LARGE($AG$6:$AG$13,MIN(2,COUNT($AG$6:$AG$13)))&lt;=AG6</formula>
    </cfRule>
  </conditionalFormatting>
  <conditionalFormatting sqref="T6:U13">
    <cfRule type="expression" rank="0" priority="44" equalAverage="0" aboveAverage="0" dxfId="117" text="" percent="0" bottom="0">
      <formula>SMALL($T$6:$U$13,MIN(2,COUNT($T$6:$U$13)))&gt;=T6</formula>
    </cfRule>
    <cfRule type="expression" rank="0" priority="45" equalAverage="0" aboveAverage="0" dxfId="116" text="" percent="0" bottom="0">
      <formula>LARGE($T$6:$U$13,MIN(2,COUNT($T$6:$U$13)))&lt;=T6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8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周璇</dc:creator>
  <dc:language xmlns:dc="http://purl.org/dc/elements/1.1/">en-US</dc:language>
  <dcterms:created xmlns:dcterms="http://purl.org/dc/terms/" xmlns:xsi="http://www.w3.org/2001/XMLSchema-instance" xsi:type="dcterms:W3CDTF">2024-01-29T17:45:49Z</dcterms:created>
  <dcterms:modified xmlns:dcterms="http://purl.org/dc/terms/" xmlns:xsi="http://www.w3.org/2001/XMLSchema-instance" xsi:type="dcterms:W3CDTF">2026-10-28T08:06:33Z</dcterms:modified>
  <cp:lastModifiedBy>高梦婷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E95DD1DDE57AD810D7DEB769CEB1F0C5</vt:lpwstr>
  </property>
  <property name="KSOProductBuildVer" fmtid="{D5CDD505-2E9C-101B-9397-08002B2CF9AE}" pid="3">
    <vt:lpwstr xmlns:vt="http://schemas.openxmlformats.org/officeDocument/2006/docPropsVTypes">2052-11.8.2.12390</vt:lpwstr>
  </property>
  <property name="KSOReadingLayout" fmtid="{D5CDD505-2E9C-101B-9397-08002B2CF9AE}" pid="4">
    <vt:bool xmlns:vt="http://schemas.openxmlformats.org/officeDocument/2006/docPropsVTypes">1</vt:bool>
  </property>
</Properties>
</file>