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25" tabRatio="600" firstSheet="0" activeTab="0" autoFilterDateGrouping="1"/>
  </bookViews>
  <sheets>
    <sheet xmlns:r="http://schemas.openxmlformats.org/officeDocument/2006/relationships" name="通报" sheetId="1" state="visible" r:id="rId1"/>
    <sheet xmlns:r="http://schemas.openxmlformats.org/officeDocument/2006/relationships" name="养老金" sheetId="2" state="visible" r:id="rId2"/>
    <sheet xmlns:r="http://schemas.openxmlformats.org/officeDocument/2006/relationships" name="社保卡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9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微软雅黑"/>
      <charset val="1"/>
      <b val="1"/>
      <color rgb="FF333333"/>
      <sz val="14"/>
    </font>
    <font>
      <name val="Microsoft YaHei"/>
      <charset val="1"/>
      <color rgb="FF555656"/>
      <sz val="9"/>
    </font>
    <font>
      <name val="微软雅黑"/>
      <charset val="1"/>
      <color rgb="FF000000"/>
      <sz val="11"/>
    </font>
    <font>
      <name val="微软雅黑"/>
      <charset val="1"/>
      <color rgb="FF313131"/>
      <sz val="9"/>
    </font>
    <font>
      <name val="微软雅黑 Bold"/>
      <charset val="1"/>
      <b val="1"/>
      <color rgb="FF313131"/>
      <sz val="11"/>
    </font>
    <font>
      <name val="方正黑体_GBK"/>
      <charset val="134"/>
      <b val="1"/>
      <color theme="0"/>
      <sz val="18"/>
    </font>
    <font>
      <name val="方正黑体_GBK"/>
      <charset val="134"/>
      <color theme="1"/>
      <sz val="12"/>
    </font>
    <font>
      <name val="微软雅黑"/>
      <charset val="134"/>
      <b val="1"/>
      <color theme="1"/>
      <sz val="14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9">
    <xf numFmtId="0" fontId="0" fillId="0" borderId="0" applyAlignment="1">
      <alignment vertical="center"/>
    </xf>
    <xf numFmtId="0" fontId="10" fillId="11" borderId="0" applyAlignment="1">
      <alignment vertical="center"/>
    </xf>
    <xf numFmtId="0" fontId="11" fillId="35" borderId="0" applyAlignment="1">
      <alignment vertical="center"/>
    </xf>
    <xf numFmtId="0" fontId="10" fillId="29" borderId="0" applyAlignment="1">
      <alignment vertical="center"/>
    </xf>
    <xf numFmtId="0" fontId="27" fillId="30" borderId="13" applyAlignment="1">
      <alignment vertical="center"/>
    </xf>
    <xf numFmtId="0" fontId="11" fillId="34" borderId="0" applyAlignment="1">
      <alignment vertical="center"/>
    </xf>
    <xf numFmtId="0" fontId="11" fillId="33" borderId="0" applyAlignment="1">
      <alignment vertical="center"/>
    </xf>
    <xf numFmtId="44" fontId="0" fillId="0" borderId="0" applyAlignment="1">
      <alignment vertical="center"/>
    </xf>
    <xf numFmtId="0" fontId="10" fillId="31" borderId="0" applyAlignment="1">
      <alignment vertical="center"/>
    </xf>
    <xf numFmtId="9" fontId="0" fillId="0" borderId="0" applyAlignment="1">
      <alignment vertical="center"/>
    </xf>
    <xf numFmtId="0" fontId="10" fillId="26" borderId="0" applyAlignment="1">
      <alignment vertical="center"/>
    </xf>
    <xf numFmtId="0" fontId="10" fillId="22" borderId="0" applyAlignment="1">
      <alignment vertical="center"/>
    </xf>
    <xf numFmtId="0" fontId="10" fillId="25" borderId="0" applyAlignment="1">
      <alignment vertical="center"/>
    </xf>
    <xf numFmtId="0" fontId="10" fillId="24" borderId="0" applyAlignment="1">
      <alignment vertical="center"/>
    </xf>
    <xf numFmtId="0" fontId="10" fillId="21" borderId="0" applyAlignment="1">
      <alignment vertical="center"/>
    </xf>
    <xf numFmtId="0" fontId="25" fillId="27" borderId="13" applyAlignment="1">
      <alignment vertical="center"/>
    </xf>
    <xf numFmtId="0" fontId="10" fillId="23" borderId="0" applyAlignment="1">
      <alignment vertical="center"/>
    </xf>
    <xf numFmtId="0" fontId="22" fillId="20" borderId="0" applyAlignment="1">
      <alignment vertical="center"/>
    </xf>
    <xf numFmtId="0" fontId="11" fillId="18" borderId="0" applyAlignment="1">
      <alignment vertical="center"/>
    </xf>
    <xf numFmtId="0" fontId="21" fillId="19" borderId="0" applyAlignment="1">
      <alignment vertical="center"/>
    </xf>
    <xf numFmtId="0" fontId="11" fillId="36" borderId="0" applyAlignment="1">
      <alignment vertical="center"/>
    </xf>
    <xf numFmtId="0" fontId="20" fillId="0" borderId="11" applyAlignment="1">
      <alignment vertical="center"/>
    </xf>
    <xf numFmtId="0" fontId="28" fillId="32" borderId="0" applyAlignment="1">
      <alignment vertical="center"/>
    </xf>
    <xf numFmtId="0" fontId="12" fillId="12" borderId="7" applyAlignment="1">
      <alignment vertical="center"/>
    </xf>
    <xf numFmtId="0" fontId="26" fillId="27" borderId="14" applyAlignment="1">
      <alignment vertical="center"/>
    </xf>
    <xf numFmtId="0" fontId="19" fillId="0" borderId="10" applyAlignment="1">
      <alignment vertical="center"/>
    </xf>
    <xf numFmtId="0" fontId="18" fillId="0" borderId="0" applyAlignment="1">
      <alignment vertical="center"/>
    </xf>
    <xf numFmtId="0" fontId="11" fillId="17" borderId="0" applyAlignment="1">
      <alignment vertical="center"/>
    </xf>
    <xf numFmtId="0" fontId="13" fillId="0" borderId="0" applyAlignment="1">
      <alignment vertical="center"/>
    </xf>
    <xf numFmtId="42" fontId="0" fillId="0" borderId="0" applyAlignment="1">
      <alignment vertical="center"/>
    </xf>
    <xf numFmtId="0" fontId="11" fillId="10" borderId="0" applyAlignment="1">
      <alignment vertical="center"/>
    </xf>
    <xf numFmtId="43" fontId="0" fillId="0" borderId="0" applyAlignment="1">
      <alignment vertical="center"/>
    </xf>
    <xf numFmtId="0" fontId="17" fillId="0" borderId="0" applyAlignment="1">
      <alignment vertical="center"/>
    </xf>
    <xf numFmtId="0" fontId="16" fillId="0" borderId="0" applyAlignment="1">
      <alignment vertical="center"/>
    </xf>
    <xf numFmtId="0" fontId="11" fillId="38" borderId="0" applyAlignment="1">
      <alignment vertical="center"/>
    </xf>
    <xf numFmtId="0" fontId="15" fillId="0" borderId="0" applyAlignment="1">
      <alignment vertical="center"/>
    </xf>
    <xf numFmtId="0" fontId="10" fillId="37" borderId="0" applyAlignment="1">
      <alignment vertical="center"/>
    </xf>
    <xf numFmtId="0" fontId="0" fillId="15" borderId="9" applyAlignment="1">
      <alignment vertical="center"/>
    </xf>
    <xf numFmtId="0" fontId="11" fillId="14" borderId="0" applyAlignment="1">
      <alignment vertical="center"/>
    </xf>
    <xf numFmtId="0" fontId="10" fillId="28" borderId="0" applyAlignment="1">
      <alignment vertical="center"/>
    </xf>
    <xf numFmtId="0" fontId="11" fillId="13" borderId="0" applyAlignment="1">
      <alignment vertical="center"/>
    </xf>
    <xf numFmtId="0" fontId="23" fillId="0" borderId="0" applyAlignment="1">
      <alignment vertical="center"/>
    </xf>
    <xf numFmtId="41" fontId="0" fillId="0" borderId="0" applyAlignment="1">
      <alignment vertical="center"/>
    </xf>
    <xf numFmtId="0" fontId="14" fillId="0" borderId="10" applyAlignment="1">
      <alignment vertical="center"/>
    </xf>
    <xf numFmtId="0" fontId="11" fillId="9" borderId="0" applyAlignment="1">
      <alignment vertical="center"/>
    </xf>
    <xf numFmtId="0" fontId="13" fillId="0" borderId="8" applyAlignment="1">
      <alignment vertical="center"/>
    </xf>
    <xf numFmtId="0" fontId="10" fillId="8" borderId="0" applyAlignment="1">
      <alignment vertical="center"/>
    </xf>
    <xf numFmtId="0" fontId="11" fillId="16" borderId="0" applyAlignment="1">
      <alignment vertical="center"/>
    </xf>
    <xf numFmtId="0" fontId="24" fillId="0" borderId="12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4" fontId="3" fillId="3" borderId="3" applyAlignment="1" pivotButton="0" quotePrefix="0" xfId="0">
      <alignment horizontal="right" vertical="center"/>
    </xf>
    <xf numFmtId="14" fontId="0" fillId="0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3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4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7" borderId="6" applyAlignment="1" pivotButton="0" quotePrefix="0" xfId="0">
      <alignment horizontal="center" vertical="center"/>
    </xf>
    <xf numFmtId="9" fontId="8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9" fontId="8" fillId="5" borderId="6" applyAlignment="1" pivotButton="0" quotePrefix="0" xfId="0">
      <alignment horizontal="center" vertical="center"/>
    </xf>
    <xf numFmtId="9" fontId="9" fillId="7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9" fontId="8" fillId="0" borderId="6" applyAlignment="1" pivotButton="0" quotePrefix="0" xfId="0">
      <alignment horizontal="center" vertical="center"/>
    </xf>
    <xf numFmtId="9" fontId="9" fillId="6" borderId="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164" fontId="8" fillId="0" borderId="6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5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6">
    <dxf>
      <font>
        <b val="1"/>
        <color rgb="FFFF0000"/>
      </font>
    </dxf>
    <dxf>
      <font>
        <b val="1"/>
        <color theme="9"/>
      </font>
    </dxf>
    <dxf>
      <font>
        <b val="1"/>
        <color theme="0"/>
      </font>
      <fill>
        <patternFill patternType="solid">
          <bgColor rgb="FFC00000"/>
        </patternFill>
      </fill>
    </dxf>
    <dxf>
      <font/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tabSelected="1" zoomScale="70" zoomScaleNormal="70" workbookViewId="0">
      <selection activeCell="R17" sqref="R17"/>
    </sheetView>
  </sheetViews>
  <sheetFormatPr baseColWidth="8" defaultColWidth="9" defaultRowHeight="14.25"/>
  <cols>
    <col width="7.85833333333333" customWidth="1" style="13" min="1" max="1"/>
    <col width="19.8166666666667" customWidth="1" style="13" min="2" max="2"/>
    <col width="9.375" customWidth="1" style="13" min="3" max="4"/>
    <col width="13.75" customWidth="1" style="13" min="5" max="5"/>
    <col width="9.375" customWidth="1" style="13" min="6" max="8"/>
    <col width="13.75" customWidth="1" style="13" min="9" max="9"/>
    <col width="9.375" customWidth="1" style="13" min="10" max="10"/>
    <col width="12.3166666666667" customWidth="1" style="13" min="11" max="11"/>
    <col width="11.425" customWidth="1" style="13" min="12" max="12"/>
  </cols>
  <sheetData>
    <row r="1" ht="27" customFormat="1" customHeight="1" s="13">
      <c r="A1" s="14" t="inlineStr">
        <is>
          <t>“一卡一户”日通报（待导入）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8" t="n"/>
    </row>
    <row r="2" ht="15.75" customFormat="1" customHeight="1" s="13">
      <c r="A2" s="16" t="inlineStr">
        <is>
          <t>支行</t>
        </is>
      </c>
      <c r="B2" s="16" t="inlineStr">
        <is>
          <t>网点</t>
        </is>
      </c>
      <c r="C2" s="16" t="inlineStr">
        <is>
          <t>社保卡</t>
        </is>
      </c>
      <c r="D2" s="27" t="n"/>
      <c r="E2" s="27" t="n"/>
      <c r="F2" s="28" t="n"/>
      <c r="G2" s="16" t="inlineStr">
        <is>
          <t>个人养老金</t>
        </is>
      </c>
      <c r="H2" s="27" t="n"/>
      <c r="I2" s="27" t="n"/>
      <c r="J2" s="28" t="n"/>
      <c r="K2" s="24" t="inlineStr">
        <is>
          <t>当日合计完成率</t>
        </is>
      </c>
      <c r="L2" s="24" t="inlineStr">
        <is>
          <t>合计周任务完成率</t>
        </is>
      </c>
    </row>
    <row r="3" ht="15.75" customFormat="1" customHeight="1" s="13">
      <c r="A3" s="29" t="n"/>
      <c r="B3" s="29" t="n"/>
      <c r="C3" s="16" t="inlineStr">
        <is>
          <t>当日开户</t>
        </is>
      </c>
      <c r="D3" s="16" t="inlineStr">
        <is>
          <t>当日目标</t>
        </is>
      </c>
      <c r="E3" s="16" t="inlineStr">
        <is>
          <t>日平台达成率</t>
        </is>
      </c>
      <c r="F3" s="16" t="inlineStr">
        <is>
          <t>本周开户</t>
        </is>
      </c>
      <c r="G3" s="16" t="inlineStr">
        <is>
          <t>当日开户</t>
        </is>
      </c>
      <c r="H3" s="16" t="inlineStr">
        <is>
          <t>当日目标</t>
        </is>
      </c>
      <c r="I3" s="16" t="inlineStr">
        <is>
          <t>日平台达成率</t>
        </is>
      </c>
      <c r="J3" s="16" t="inlineStr">
        <is>
          <t>本周开户</t>
        </is>
      </c>
      <c r="K3" s="29" t="n"/>
      <c r="L3" s="29" t="n"/>
    </row>
    <row r="4" ht="15.75" customFormat="1" customHeight="1" s="13">
      <c r="A4" s="16" t="inlineStr">
        <is>
          <t>颍州</t>
        </is>
      </c>
      <c r="B4" s="16" t="inlineStr">
        <is>
          <t>阜阳颍州支行营业室</t>
        </is>
      </c>
      <c r="C4" s="16" t="n"/>
      <c r="D4" s="16" t="n"/>
      <c r="E4" s="25" t="n"/>
      <c r="F4" s="30" t="n"/>
      <c r="G4" s="16" t="n"/>
      <c r="H4" s="16" t="n"/>
      <c r="I4" s="25" t="n"/>
      <c r="J4" s="30" t="n"/>
      <c r="K4" s="25" t="n"/>
      <c r="L4" s="25" t="n"/>
    </row>
    <row r="5" ht="15.75" customFormat="1" customHeight="1" s="13">
      <c r="A5" s="31" t="n"/>
      <c r="B5" s="16" t="inlineStr">
        <is>
          <t>阜阳师范大学支行</t>
        </is>
      </c>
      <c r="C5" s="16" t="n"/>
      <c r="D5" s="16" t="n"/>
      <c r="E5" s="25" t="n"/>
      <c r="F5" s="30" t="n"/>
      <c r="G5" s="16" t="n"/>
      <c r="H5" s="16" t="n"/>
      <c r="I5" s="25" t="n"/>
      <c r="J5" s="30" t="n"/>
      <c r="K5" s="25" t="n"/>
      <c r="L5" s="25" t="n"/>
    </row>
    <row r="6" ht="15.75" customFormat="1" customHeight="1" s="13">
      <c r="A6" s="31" t="n"/>
      <c r="B6" s="16" t="inlineStr">
        <is>
          <t>阜阳文峰支行</t>
        </is>
      </c>
      <c r="C6" s="16" t="n"/>
      <c r="D6" s="16" t="n"/>
      <c r="E6" s="25" t="n"/>
      <c r="F6" s="30" t="n"/>
      <c r="G6" s="16" t="n"/>
      <c r="H6" s="16" t="n"/>
      <c r="I6" s="25" t="n"/>
      <c r="J6" s="30" t="n"/>
      <c r="K6" s="25" t="n"/>
      <c r="L6" s="25" t="n"/>
    </row>
    <row r="7" ht="15.75" customFormat="1" customHeight="1" s="13">
      <c r="A7" s="31" t="n"/>
      <c r="B7" s="16" t="inlineStr">
        <is>
          <t>阜阳城建支行</t>
        </is>
      </c>
      <c r="C7" s="16" t="n"/>
      <c r="D7" s="16" t="n"/>
      <c r="E7" s="25" t="n"/>
      <c r="F7" s="30" t="n"/>
      <c r="G7" s="16" t="n"/>
      <c r="H7" s="16" t="n"/>
      <c r="I7" s="25" t="n"/>
      <c r="J7" s="30" t="n"/>
      <c r="K7" s="25" t="n"/>
      <c r="L7" s="25" t="n"/>
    </row>
    <row r="8" ht="15.75" customFormat="1" customHeight="1" s="13">
      <c r="A8" s="31" t="n"/>
      <c r="B8" s="16" t="inlineStr">
        <is>
          <t>阜阳清河支行</t>
        </is>
      </c>
      <c r="C8" s="16" t="n"/>
      <c r="D8" s="16" t="n"/>
      <c r="E8" s="25" t="n"/>
      <c r="F8" s="30" t="n"/>
      <c r="G8" s="16" t="n"/>
      <c r="H8" s="16" t="n"/>
      <c r="I8" s="25" t="n"/>
      <c r="J8" s="30" t="n"/>
      <c r="K8" s="25" t="n"/>
      <c r="L8" s="25" t="n"/>
    </row>
    <row r="9" ht="15.75" customFormat="1" customHeight="1" s="13">
      <c r="A9" s="31" t="n"/>
      <c r="B9" s="16" t="inlineStr">
        <is>
          <t>阜阳金鹰支行</t>
        </is>
      </c>
      <c r="C9" s="16" t="n"/>
      <c r="D9" s="16" t="n"/>
      <c r="E9" s="25" t="n"/>
      <c r="F9" s="30" t="n"/>
      <c r="G9" s="16" t="n"/>
      <c r="H9" s="16" t="n"/>
      <c r="I9" s="25" t="n"/>
      <c r="J9" s="30" t="n"/>
      <c r="K9" s="25" t="n"/>
      <c r="L9" s="25" t="n"/>
    </row>
    <row r="10" ht="15.75" customFormat="1" customHeight="1" s="13">
      <c r="A10" s="29" t="n"/>
      <c r="B10" s="16" t="inlineStr">
        <is>
          <t>阜阳南站支行</t>
        </is>
      </c>
      <c r="C10" s="16" t="n"/>
      <c r="D10" s="16" t="n"/>
      <c r="E10" s="25" t="n"/>
      <c r="F10" s="30" t="n"/>
      <c r="G10" s="16" t="n"/>
      <c r="H10" s="16" t="n"/>
      <c r="I10" s="25" t="n"/>
      <c r="J10" s="30" t="n"/>
      <c r="K10" s="25" t="n"/>
      <c r="L10" s="25" t="n"/>
    </row>
    <row r="11" ht="15.75" customFormat="1" customHeight="1" s="13">
      <c r="A11" s="17" t="inlineStr">
        <is>
          <t>颍州小计</t>
        </is>
      </c>
      <c r="B11" s="28" t="n"/>
      <c r="C11" s="17" t="n"/>
      <c r="D11" s="17" t="n"/>
      <c r="E11" s="22" t="n"/>
      <c r="F11" s="17" t="n"/>
      <c r="G11" s="17" t="n"/>
      <c r="H11" s="17" t="n"/>
      <c r="I11" s="22" t="n"/>
      <c r="J11" s="17" t="n"/>
      <c r="K11" s="22" t="n"/>
      <c r="L11" s="22" t="n"/>
    </row>
    <row r="12" ht="15.75" customFormat="1" customHeight="1" s="13">
      <c r="A12" s="16" t="inlineStr">
        <is>
          <t>颍泉</t>
        </is>
      </c>
      <c r="B12" s="16" t="inlineStr">
        <is>
          <t>阜阳颍泉支行营业室</t>
        </is>
      </c>
      <c r="C12" s="16" t="n"/>
      <c r="D12" s="16" t="n"/>
      <c r="E12" s="25" t="n"/>
      <c r="F12" s="30" t="n"/>
      <c r="G12" s="16" t="n"/>
      <c r="H12" s="16" t="n"/>
      <c r="I12" s="25" t="n"/>
      <c r="J12" s="30" t="n"/>
      <c r="K12" s="25" t="n"/>
      <c r="L12" s="25" t="n"/>
    </row>
    <row r="13" ht="15.75" customFormat="1" customHeight="1" s="13">
      <c r="A13" s="31" t="n"/>
      <c r="B13" s="16" t="inlineStr">
        <is>
          <t>阜阳瑶海支行</t>
        </is>
      </c>
      <c r="C13" s="16" t="n"/>
      <c r="D13" s="16" t="n"/>
      <c r="E13" s="25" t="n"/>
      <c r="F13" s="30" t="n"/>
      <c r="G13" s="16" t="n"/>
      <c r="H13" s="16" t="n"/>
      <c r="I13" s="25" t="n"/>
      <c r="J13" s="30" t="n"/>
      <c r="K13" s="25" t="n"/>
      <c r="L13" s="25" t="n"/>
    </row>
    <row r="14" ht="15.75" customFormat="1" customHeight="1" s="13">
      <c r="A14" s="31" t="n"/>
      <c r="B14" s="16" t="inlineStr">
        <is>
          <t>阜阳大楼支行</t>
        </is>
      </c>
      <c r="C14" s="16" t="n"/>
      <c r="D14" s="16" t="n"/>
      <c r="E14" s="25" t="n"/>
      <c r="F14" s="30" t="n"/>
      <c r="G14" s="16" t="n"/>
      <c r="H14" s="16" t="n"/>
      <c r="I14" s="25" t="n"/>
      <c r="J14" s="30" t="n"/>
      <c r="K14" s="25" t="n"/>
      <c r="L14" s="25" t="n"/>
    </row>
    <row r="15" ht="15.75" customFormat="1" customHeight="1" s="13">
      <c r="A15" s="31" t="n"/>
      <c r="B15" s="16" t="inlineStr">
        <is>
          <t>阜阳临沂商城支行</t>
        </is>
      </c>
      <c r="C15" s="16" t="n"/>
      <c r="D15" s="16" t="n"/>
      <c r="E15" s="25" t="n"/>
      <c r="F15" s="30" t="n"/>
      <c r="G15" s="16" t="n"/>
      <c r="H15" s="16" t="n"/>
      <c r="I15" s="25" t="n"/>
      <c r="J15" s="30" t="n"/>
      <c r="K15" s="25" t="n"/>
      <c r="L15" s="25" t="n"/>
    </row>
    <row r="16" ht="15.75" customFormat="1" customHeight="1" s="13">
      <c r="A16" s="31" t="n"/>
      <c r="B16" s="16" t="inlineStr">
        <is>
          <t>阜阳人民路支行</t>
        </is>
      </c>
      <c r="C16" s="16" t="n"/>
      <c r="D16" s="16" t="n"/>
      <c r="E16" s="25" t="n"/>
      <c r="F16" s="30" t="n"/>
      <c r="G16" s="16" t="n"/>
      <c r="H16" s="16" t="n"/>
      <c r="I16" s="25" t="n"/>
      <c r="J16" s="30" t="n"/>
      <c r="K16" s="25" t="n"/>
      <c r="L16" s="25" t="n"/>
    </row>
    <row r="17" ht="15.75" customFormat="1" customHeight="1" s="13">
      <c r="A17" s="31" t="n"/>
      <c r="B17" s="16" t="inlineStr">
        <is>
          <t>阜阳小隅首支行</t>
        </is>
      </c>
      <c r="C17" s="16" t="n"/>
      <c r="D17" s="16" t="n"/>
      <c r="E17" s="25" t="n"/>
      <c r="F17" s="30" t="n"/>
      <c r="G17" s="16" t="n"/>
      <c r="H17" s="16" t="n"/>
      <c r="I17" s="25" t="n"/>
      <c r="J17" s="30" t="n"/>
      <c r="K17" s="25" t="n"/>
      <c r="L17" s="25" t="n"/>
    </row>
    <row r="18" ht="15.75" customFormat="1" customHeight="1" s="13">
      <c r="A18" s="29" t="n"/>
      <c r="B18" s="16" t="inlineStr">
        <is>
          <t>阜阳牡丹支行</t>
        </is>
      </c>
      <c r="C18" s="16" t="n"/>
      <c r="D18" s="16" t="n"/>
      <c r="E18" s="25" t="n"/>
      <c r="F18" s="30" t="n"/>
      <c r="G18" s="16" t="n"/>
      <c r="H18" s="16" t="n"/>
      <c r="I18" s="25" t="n"/>
      <c r="J18" s="30" t="n"/>
      <c r="K18" s="25" t="n"/>
      <c r="L18" s="25" t="n"/>
    </row>
    <row r="19" ht="15.75" customFormat="1" customHeight="1" s="13">
      <c r="A19" s="17" t="inlineStr">
        <is>
          <t>颍泉小计</t>
        </is>
      </c>
      <c r="B19" s="28" t="n"/>
      <c r="C19" s="17" t="n"/>
      <c r="D19" s="17" t="n"/>
      <c r="E19" s="22" t="n"/>
      <c r="F19" s="17" t="n"/>
      <c r="G19" s="17" t="n"/>
      <c r="H19" s="17" t="n"/>
      <c r="I19" s="22" t="n"/>
      <c r="J19" s="17" t="n"/>
      <c r="K19" s="22" t="n"/>
      <c r="L19" s="22" t="n"/>
    </row>
    <row r="20" ht="15.75" customFormat="1" customHeight="1" s="13">
      <c r="A20" s="16" t="inlineStr">
        <is>
          <t>颍东</t>
        </is>
      </c>
      <c r="B20" s="16" t="inlineStr">
        <is>
          <t>阜阳颍东支行营业室</t>
        </is>
      </c>
      <c r="C20" s="16" t="n"/>
      <c r="D20" s="16" t="n"/>
      <c r="E20" s="25" t="n"/>
      <c r="F20" s="30" t="n"/>
      <c r="G20" s="16" t="n"/>
      <c r="H20" s="16" t="n"/>
      <c r="I20" s="25" t="n"/>
      <c r="J20" s="30" t="n"/>
      <c r="K20" s="25" t="n"/>
      <c r="L20" s="25" t="n"/>
    </row>
    <row r="21" ht="15.75" customFormat="1" customHeight="1" s="13">
      <c r="A21" s="31" t="n"/>
      <c r="B21" s="16" t="inlineStr">
        <is>
          <t>阜阳汇通支行</t>
        </is>
      </c>
      <c r="C21" s="16" t="n"/>
      <c r="D21" s="16" t="n"/>
      <c r="E21" s="25" t="n"/>
      <c r="F21" s="30" t="n"/>
      <c r="G21" s="16" t="n"/>
      <c r="H21" s="16" t="n"/>
      <c r="I21" s="25" t="n"/>
      <c r="J21" s="30" t="n"/>
      <c r="K21" s="25" t="n"/>
      <c r="L21" s="25" t="n"/>
    </row>
    <row r="22" ht="15.75" customFormat="1" customHeight="1" s="13">
      <c r="A22" s="31" t="n"/>
      <c r="B22" s="16" t="inlineStr">
        <is>
          <t>阜阳颍河支行</t>
        </is>
      </c>
      <c r="C22" s="16" t="n"/>
      <c r="D22" s="16" t="n"/>
      <c r="E22" s="25" t="n"/>
      <c r="F22" s="30" t="n"/>
      <c r="G22" s="16" t="n"/>
      <c r="H22" s="16" t="n"/>
      <c r="I22" s="25" t="n"/>
      <c r="J22" s="30" t="n"/>
      <c r="K22" s="25" t="n"/>
      <c r="L22" s="25" t="n"/>
    </row>
    <row r="23" ht="15.75" customFormat="1" customHeight="1" s="13">
      <c r="A23" s="31" t="n"/>
      <c r="B23" s="16" t="inlineStr">
        <is>
          <t>阜阳烟厂支行</t>
        </is>
      </c>
      <c r="C23" s="16" t="n"/>
      <c r="D23" s="16" t="n"/>
      <c r="E23" s="25" t="n"/>
      <c r="F23" s="30" t="n"/>
      <c r="G23" s="16" t="n"/>
      <c r="H23" s="16" t="n"/>
      <c r="I23" s="25" t="n"/>
      <c r="J23" s="30" t="n"/>
      <c r="K23" s="25" t="n"/>
      <c r="L23" s="25" t="n"/>
    </row>
    <row r="24" ht="15.75" customFormat="1" customHeight="1" s="13">
      <c r="A24" s="31" t="n"/>
      <c r="B24" s="16" t="inlineStr">
        <is>
          <t>阜阳岳家湖支行</t>
        </is>
      </c>
      <c r="C24" s="16" t="n"/>
      <c r="D24" s="16" t="n"/>
      <c r="E24" s="25" t="n"/>
      <c r="F24" s="30" t="n"/>
      <c r="G24" s="16" t="n"/>
      <c r="H24" s="16" t="n"/>
      <c r="I24" s="25" t="n"/>
      <c r="J24" s="30" t="n"/>
      <c r="K24" s="25" t="n"/>
      <c r="L24" s="25" t="n"/>
    </row>
    <row r="25" ht="15.75" customFormat="1" customHeight="1" s="13">
      <c r="A25" s="29" t="n"/>
      <c r="B25" s="16" t="inlineStr">
        <is>
          <t>阜阳青年支行</t>
        </is>
      </c>
      <c r="C25" s="16" t="n"/>
      <c r="D25" s="16" t="n"/>
      <c r="E25" s="25" t="n"/>
      <c r="F25" s="30" t="n"/>
      <c r="G25" s="16" t="n"/>
      <c r="H25" s="16" t="n"/>
      <c r="I25" s="25" t="n"/>
      <c r="J25" s="30" t="n"/>
      <c r="K25" s="25" t="n"/>
      <c r="L25" s="25" t="n"/>
    </row>
    <row r="26" ht="15.75" customFormat="1" customHeight="1" s="13">
      <c r="A26" s="17" t="inlineStr">
        <is>
          <t>颍东小计</t>
        </is>
      </c>
      <c r="B26" s="28" t="n"/>
      <c r="C26" s="17" t="n"/>
      <c r="D26" s="17" t="n"/>
      <c r="E26" s="22" t="n"/>
      <c r="F26" s="17" t="n"/>
      <c r="G26" s="17" t="n"/>
      <c r="H26" s="17" t="n"/>
      <c r="I26" s="22" t="n"/>
      <c r="J26" s="17" t="n"/>
      <c r="K26" s="22" t="n"/>
      <c r="L26" s="22" t="n"/>
    </row>
    <row r="27" ht="15.75" customFormat="1" customHeight="1" s="13">
      <c r="A27" s="16" t="inlineStr">
        <is>
          <t>界首</t>
        </is>
      </c>
      <c r="B27" s="16" t="inlineStr">
        <is>
          <t>界首支行营业室</t>
        </is>
      </c>
      <c r="C27" s="16" t="n"/>
      <c r="D27" s="16" t="n"/>
      <c r="E27" s="25" t="n"/>
      <c r="F27" s="30" t="n"/>
      <c r="G27" s="16" t="n"/>
      <c r="H27" s="16" t="n"/>
      <c r="I27" s="25" t="n"/>
      <c r="J27" s="30" t="n"/>
      <c r="K27" s="25" t="n"/>
      <c r="L27" s="25" t="n"/>
    </row>
    <row r="28" ht="15.75" customFormat="1" customHeight="1" s="13">
      <c r="A28" s="31" t="n"/>
      <c r="B28" s="16" t="inlineStr">
        <is>
          <t>界首城建支行</t>
        </is>
      </c>
      <c r="C28" s="16" t="n"/>
      <c r="D28" s="16" t="n"/>
      <c r="E28" s="25" t="n"/>
      <c r="F28" s="30" t="n"/>
      <c r="G28" s="16" t="n"/>
      <c r="H28" s="16" t="n"/>
      <c r="I28" s="25" t="n"/>
      <c r="J28" s="30" t="n"/>
      <c r="K28" s="25" t="n"/>
      <c r="L28" s="25" t="n"/>
    </row>
    <row r="29" ht="15.75" customFormat="1" customHeight="1" s="13">
      <c r="A29" s="31" t="n"/>
      <c r="B29" s="16" t="inlineStr">
        <is>
          <t>界首新街口支行</t>
        </is>
      </c>
      <c r="C29" s="16" t="n"/>
      <c r="D29" s="16" t="n"/>
      <c r="E29" s="25" t="n"/>
      <c r="F29" s="30" t="n"/>
      <c r="G29" s="16" t="n"/>
      <c r="H29" s="16" t="n"/>
      <c r="I29" s="25" t="n"/>
      <c r="J29" s="30" t="n"/>
      <c r="K29" s="25" t="n"/>
      <c r="L29" s="25" t="n"/>
    </row>
    <row r="30" ht="15.75" customFormat="1" customHeight="1" s="13">
      <c r="A30" s="29" t="n"/>
      <c r="B30" s="16" t="inlineStr">
        <is>
          <t>界首科创支行</t>
        </is>
      </c>
      <c r="C30" s="16" t="n"/>
      <c r="D30" s="16" t="n"/>
      <c r="E30" s="25" t="n"/>
      <c r="F30" s="30" t="n"/>
      <c r="G30" s="16" t="n"/>
      <c r="H30" s="16" t="n"/>
      <c r="I30" s="25" t="n"/>
      <c r="J30" s="30" t="n"/>
      <c r="K30" s="25" t="n"/>
      <c r="L30" s="25" t="n"/>
    </row>
    <row r="31" ht="15.75" customFormat="1" customHeight="1" s="13">
      <c r="A31" s="17" t="inlineStr">
        <is>
          <t>界首小计</t>
        </is>
      </c>
      <c r="B31" s="28" t="n"/>
      <c r="C31" s="17" t="n"/>
      <c r="D31" s="17" t="n"/>
      <c r="E31" s="22" t="n"/>
      <c r="F31" s="17" t="n"/>
      <c r="G31" s="17" t="n"/>
      <c r="H31" s="17" t="n"/>
      <c r="I31" s="22" t="n"/>
      <c r="J31" s="17" t="n"/>
      <c r="K31" s="22" t="n"/>
      <c r="L31" s="22" t="n"/>
    </row>
    <row r="32" ht="15.75" customFormat="1" customHeight="1" s="13">
      <c r="A32" s="16" t="inlineStr">
        <is>
          <t>临泉</t>
        </is>
      </c>
      <c r="B32" s="16" t="inlineStr">
        <is>
          <t>临泉支行营业室</t>
        </is>
      </c>
      <c r="C32" s="16" t="n"/>
      <c r="D32" s="16" t="n"/>
      <c r="E32" s="25" t="n"/>
      <c r="F32" s="30" t="n"/>
      <c r="G32" s="16" t="n"/>
      <c r="H32" s="16" t="n"/>
      <c r="I32" s="25" t="n"/>
      <c r="J32" s="30" t="n"/>
      <c r="K32" s="25" t="n"/>
      <c r="L32" s="25" t="n"/>
    </row>
    <row r="33" ht="15.75" customFormat="1" customHeight="1" s="13">
      <c r="A33" s="31" t="n"/>
      <c r="B33" s="16" t="inlineStr">
        <is>
          <t>临泉政务新区支行</t>
        </is>
      </c>
      <c r="C33" s="16" t="n"/>
      <c r="D33" s="16" t="n"/>
      <c r="E33" s="25" t="n"/>
      <c r="F33" s="30" t="n"/>
      <c r="G33" s="16" t="n"/>
      <c r="H33" s="16" t="n"/>
      <c r="I33" s="25" t="n"/>
      <c r="J33" s="30" t="n"/>
      <c r="K33" s="25" t="n"/>
      <c r="L33" s="25" t="n"/>
    </row>
    <row r="34" ht="15.75" customFormat="1" customHeight="1" s="13">
      <c r="A34" s="31" t="n"/>
      <c r="B34" s="16" t="inlineStr">
        <is>
          <t>临泉姜尚支行</t>
        </is>
      </c>
      <c r="C34" s="16" t="n"/>
      <c r="D34" s="16" t="n"/>
      <c r="E34" s="25" t="n"/>
      <c r="F34" s="30" t="n"/>
      <c r="G34" s="16" t="n"/>
      <c r="H34" s="16" t="n"/>
      <c r="I34" s="25" t="n"/>
      <c r="J34" s="30" t="n"/>
      <c r="K34" s="25" t="n"/>
      <c r="L34" s="25" t="n"/>
    </row>
    <row r="35" ht="15.75" customFormat="1" customHeight="1" s="13">
      <c r="A35" s="29" t="n"/>
      <c r="B35" s="16" t="inlineStr">
        <is>
          <t>临泉文明支行</t>
        </is>
      </c>
      <c r="C35" s="16" t="n"/>
      <c r="D35" s="16" t="n"/>
      <c r="E35" s="25" t="n"/>
      <c r="F35" s="30" t="n"/>
      <c r="G35" s="16" t="n"/>
      <c r="H35" s="16" t="n"/>
      <c r="I35" s="25" t="n"/>
      <c r="J35" s="30" t="n"/>
      <c r="K35" s="25" t="n"/>
      <c r="L35" s="25" t="n"/>
    </row>
    <row r="36" ht="15.75" customFormat="1" customHeight="1" s="13">
      <c r="A36" s="17" t="inlineStr">
        <is>
          <t>临泉小计</t>
        </is>
      </c>
      <c r="B36" s="28" t="n"/>
      <c r="C36" s="17" t="n"/>
      <c r="D36" s="17" t="n"/>
      <c r="E36" s="22" t="n"/>
      <c r="F36" s="17" t="n"/>
      <c r="G36" s="17" t="n"/>
      <c r="H36" s="17" t="n"/>
      <c r="I36" s="22" t="n"/>
      <c r="J36" s="17" t="n"/>
      <c r="K36" s="22" t="n"/>
      <c r="L36" s="22" t="n"/>
    </row>
    <row r="37" ht="15.75" customFormat="1" customHeight="1" s="13">
      <c r="A37" s="16" t="inlineStr">
        <is>
          <t>阜南</t>
        </is>
      </c>
      <c r="B37" s="16" t="inlineStr">
        <is>
          <t>阜南支行营业室</t>
        </is>
      </c>
      <c r="C37" s="16" t="n"/>
      <c r="D37" s="16" t="n"/>
      <c r="E37" s="25" t="n"/>
      <c r="F37" s="30" t="n"/>
      <c r="G37" s="16" t="n"/>
      <c r="H37" s="16" t="n"/>
      <c r="I37" s="25" t="n"/>
      <c r="J37" s="30" t="n"/>
      <c r="K37" s="25" t="n"/>
      <c r="L37" s="25" t="n"/>
    </row>
    <row r="38" ht="15.75" customFormat="1" customHeight="1" s="13">
      <c r="A38" s="31" t="n"/>
      <c r="B38" s="16" t="inlineStr">
        <is>
          <t>阜南百货大楼支行</t>
        </is>
      </c>
      <c r="C38" s="16" t="n"/>
      <c r="D38" s="16" t="n"/>
      <c r="E38" s="25" t="n"/>
      <c r="F38" s="30" t="n"/>
      <c r="G38" s="16" t="n"/>
      <c r="H38" s="16" t="n"/>
      <c r="I38" s="25" t="n"/>
      <c r="J38" s="30" t="n"/>
      <c r="K38" s="25" t="n"/>
      <c r="L38" s="25" t="n"/>
    </row>
    <row r="39" ht="15.75" customFormat="1" customHeight="1" s="13">
      <c r="A39" s="31" t="n"/>
      <c r="B39" s="16" t="inlineStr">
        <is>
          <t>阜南胜利路支行</t>
        </is>
      </c>
      <c r="C39" s="16" t="n"/>
      <c r="D39" s="16" t="n"/>
      <c r="E39" s="25" t="n"/>
      <c r="F39" s="30" t="n"/>
      <c r="G39" s="16" t="n"/>
      <c r="H39" s="16" t="n"/>
      <c r="I39" s="25" t="n"/>
      <c r="J39" s="30" t="n"/>
      <c r="K39" s="25" t="n"/>
      <c r="L39" s="25" t="n"/>
    </row>
    <row r="40" ht="15.75" customFormat="1" customHeight="1" s="13">
      <c r="A40" s="29" t="n"/>
      <c r="B40" s="16" t="inlineStr">
        <is>
          <t>阜南北城支行</t>
        </is>
      </c>
      <c r="C40" s="16" t="n"/>
      <c r="D40" s="16" t="n"/>
      <c r="E40" s="25" t="n"/>
      <c r="F40" s="30" t="n"/>
      <c r="G40" s="16" t="n"/>
      <c r="H40" s="16" t="n"/>
      <c r="I40" s="25" t="n"/>
      <c r="J40" s="30" t="n"/>
      <c r="K40" s="25" t="n"/>
      <c r="L40" s="25" t="n"/>
    </row>
    <row r="41" ht="15.75" customFormat="1" customHeight="1" s="13">
      <c r="A41" s="17" t="inlineStr">
        <is>
          <t>阜南小计</t>
        </is>
      </c>
      <c r="B41" s="28" t="n"/>
      <c r="C41" s="17" t="n"/>
      <c r="D41" s="17" t="n"/>
      <c r="E41" s="22" t="n"/>
      <c r="F41" s="17" t="n"/>
      <c r="G41" s="17" t="n"/>
      <c r="H41" s="17" t="n"/>
      <c r="I41" s="22" t="n"/>
      <c r="J41" s="17" t="n"/>
      <c r="K41" s="22" t="n"/>
      <c r="L41" s="22" t="n"/>
    </row>
    <row r="42" ht="15.75" customFormat="1" customHeight="1" s="13">
      <c r="A42" s="16" t="inlineStr">
        <is>
          <t>颍上</t>
        </is>
      </c>
      <c r="B42" s="16" t="inlineStr">
        <is>
          <t>颍上支行营业室</t>
        </is>
      </c>
      <c r="C42" s="16" t="n"/>
      <c r="D42" s="16" t="n"/>
      <c r="E42" s="25" t="n"/>
      <c r="F42" s="30" t="n"/>
      <c r="G42" s="16" t="n"/>
      <c r="H42" s="16" t="n"/>
      <c r="I42" s="25" t="n"/>
      <c r="J42" s="30" t="n"/>
      <c r="K42" s="25" t="n"/>
      <c r="L42" s="25" t="n"/>
    </row>
    <row r="43" ht="15.75" customFormat="1" customHeight="1" s="13">
      <c r="A43" s="31" t="n"/>
      <c r="B43" s="16" t="inlineStr">
        <is>
          <t>颍上北关支行</t>
        </is>
      </c>
      <c r="C43" s="16" t="n"/>
      <c r="D43" s="16" t="n"/>
      <c r="E43" s="25" t="n"/>
      <c r="F43" s="30" t="n"/>
      <c r="G43" s="16" t="n"/>
      <c r="H43" s="16" t="n"/>
      <c r="I43" s="25" t="n"/>
      <c r="J43" s="30" t="n"/>
      <c r="K43" s="25" t="n"/>
      <c r="L43" s="25" t="n"/>
    </row>
    <row r="44" ht="15.75" customFormat="1" customHeight="1" s="13">
      <c r="A44" s="31" t="n"/>
      <c r="B44" s="16" t="inlineStr">
        <is>
          <t>颍上十字街支行</t>
        </is>
      </c>
      <c r="C44" s="16" t="n"/>
      <c r="D44" s="16" t="n"/>
      <c r="E44" s="25" t="n"/>
      <c r="F44" s="30" t="n"/>
      <c r="G44" s="16" t="n"/>
      <c r="H44" s="16" t="n"/>
      <c r="I44" s="25" t="n"/>
      <c r="J44" s="30" t="n"/>
      <c r="K44" s="25" t="n"/>
      <c r="L44" s="25" t="n"/>
    </row>
    <row r="45" ht="15.75" customFormat="1" customHeight="1" s="13">
      <c r="A45" s="29" t="n"/>
      <c r="B45" s="16" t="inlineStr">
        <is>
          <t>颍上管仲支行</t>
        </is>
      </c>
      <c r="C45" s="16" t="n"/>
      <c r="D45" s="16" t="n"/>
      <c r="E45" s="25" t="n"/>
      <c r="F45" s="30" t="n"/>
      <c r="G45" s="16" t="n"/>
      <c r="H45" s="16" t="n"/>
      <c r="I45" s="25" t="n"/>
      <c r="J45" s="30" t="n"/>
      <c r="K45" s="25" t="n"/>
      <c r="L45" s="25" t="n"/>
    </row>
    <row r="46" ht="15.75" customFormat="1" customHeight="1" s="13">
      <c r="A46" s="17" t="inlineStr">
        <is>
          <t>颍上小计</t>
        </is>
      </c>
      <c r="B46" s="28" t="n"/>
      <c r="C46" s="17" t="n"/>
      <c r="D46" s="17" t="n"/>
      <c r="E46" s="22" t="n"/>
      <c r="F46" s="17" t="n"/>
      <c r="G46" s="17" t="n"/>
      <c r="H46" s="17" t="n"/>
      <c r="I46" s="22" t="n"/>
      <c r="J46" s="17" t="n"/>
      <c r="K46" s="22" t="n"/>
      <c r="L46" s="22" t="n"/>
    </row>
    <row r="47" ht="15.75" customFormat="1" customHeight="1" s="13">
      <c r="A47" s="16" t="inlineStr">
        <is>
          <t>太和</t>
        </is>
      </c>
      <c r="B47" s="16" t="inlineStr">
        <is>
          <t>太和支行营业室</t>
        </is>
      </c>
      <c r="C47" s="16" t="n"/>
      <c r="D47" s="16" t="n"/>
      <c r="E47" s="25" t="n"/>
      <c r="F47" s="30" t="n"/>
      <c r="G47" s="16" t="n"/>
      <c r="H47" s="16" t="n"/>
      <c r="I47" s="25" t="n"/>
      <c r="J47" s="30" t="n"/>
      <c r="K47" s="25" t="n"/>
      <c r="L47" s="25" t="n"/>
    </row>
    <row r="48" ht="15.75" customFormat="1" customHeight="1" s="13">
      <c r="A48" s="31" t="n"/>
      <c r="B48" s="16" t="inlineStr">
        <is>
          <t>太和大桥支行</t>
        </is>
      </c>
      <c r="C48" s="16" t="n"/>
      <c r="D48" s="16" t="n"/>
      <c r="E48" s="25" t="n"/>
      <c r="F48" s="30" t="n"/>
      <c r="G48" s="16" t="n"/>
      <c r="H48" s="16" t="n"/>
      <c r="I48" s="25" t="n"/>
      <c r="J48" s="30" t="n"/>
      <c r="K48" s="25" t="n"/>
      <c r="L48" s="25" t="n"/>
    </row>
    <row r="49" ht="15.75" customFormat="1" customHeight="1" s="13">
      <c r="A49" s="31" t="n"/>
      <c r="B49" s="16" t="inlineStr">
        <is>
          <t>太和人民路支行</t>
        </is>
      </c>
      <c r="C49" s="16" t="n"/>
      <c r="D49" s="16" t="n"/>
      <c r="E49" s="25" t="n"/>
      <c r="F49" s="30" t="n"/>
      <c r="G49" s="16" t="n"/>
      <c r="H49" s="16" t="n"/>
      <c r="I49" s="25" t="n"/>
      <c r="J49" s="30" t="n"/>
      <c r="K49" s="25" t="n"/>
      <c r="L49" s="25" t="n"/>
    </row>
    <row r="50" ht="15.75" customFormat="1" customHeight="1" s="13">
      <c r="A50" s="29" t="n"/>
      <c r="B50" s="16" t="inlineStr">
        <is>
          <t>太和华源支行</t>
        </is>
      </c>
      <c r="C50" s="16" t="n"/>
      <c r="D50" s="16" t="n"/>
      <c r="E50" s="25" t="n"/>
      <c r="F50" s="30" t="n"/>
      <c r="G50" s="16" t="n"/>
      <c r="H50" s="16" t="n"/>
      <c r="I50" s="25" t="n"/>
      <c r="J50" s="30" t="n"/>
      <c r="K50" s="25" t="n"/>
      <c r="L50" s="25" t="n"/>
    </row>
    <row r="51" ht="15.75" customFormat="1" customHeight="1" s="13">
      <c r="A51" s="17" t="inlineStr">
        <is>
          <t>太和小计</t>
        </is>
      </c>
      <c r="B51" s="28" t="n"/>
      <c r="C51" s="17" t="n"/>
      <c r="D51" s="17" t="n"/>
      <c r="E51" s="22" t="n"/>
      <c r="F51" s="17" t="n"/>
      <c r="G51" s="17" t="n"/>
      <c r="H51" s="17" t="n"/>
      <c r="I51" s="22" t="n"/>
      <c r="J51" s="17" t="n"/>
      <c r="K51" s="22" t="n"/>
      <c r="L51" s="22" t="n"/>
    </row>
    <row r="52" ht="26" customFormat="1" customHeight="1" s="13">
      <c r="A52" s="18" t="inlineStr">
        <is>
          <t>阜阳分行</t>
        </is>
      </c>
      <c r="B52" s="28" t="n"/>
      <c r="C52" s="19" t="n"/>
      <c r="D52" s="19" t="n"/>
      <c r="E52" s="23" t="n"/>
      <c r="F52" s="19" t="n"/>
      <c r="G52" s="19" t="n"/>
      <c r="H52" s="19" t="n"/>
      <c r="I52" s="23" t="n"/>
      <c r="J52" s="19" t="n"/>
      <c r="K52" s="26" t="n"/>
      <c r="L52" s="26" t="n"/>
    </row>
  </sheetData>
  <mergeCells count="24">
    <mergeCell ref="A12:A18"/>
    <mergeCell ref="A11:B11"/>
    <mergeCell ref="A51:B51"/>
    <mergeCell ref="A36:B36"/>
    <mergeCell ref="B2:B3"/>
    <mergeCell ref="A4:A10"/>
    <mergeCell ref="A41:B41"/>
    <mergeCell ref="A46:B46"/>
    <mergeCell ref="G2:J2"/>
    <mergeCell ref="A2:A3"/>
    <mergeCell ref="A37:A40"/>
    <mergeCell ref="K2:K3"/>
    <mergeCell ref="A32:A35"/>
    <mergeCell ref="A27:A30"/>
    <mergeCell ref="A26:B26"/>
    <mergeCell ref="A42:A45"/>
    <mergeCell ref="L2:L3"/>
    <mergeCell ref="A52:B52"/>
    <mergeCell ref="A47:A50"/>
    <mergeCell ref="A19:B19"/>
    <mergeCell ref="A1:L1"/>
    <mergeCell ref="A20:A25"/>
    <mergeCell ref="C2:F2"/>
    <mergeCell ref="A31:B31"/>
  </mergeCells>
  <conditionalFormatting sqref="E4:E10 E12:E18 E20:E25 E27:E30 E32:E35 E37:E40 E42:E45 E47:E50">
    <cfRule type="cellIs" priority="10" operator="greaterThanOrEqual" dxfId="0">
      <formula>1</formula>
    </cfRule>
    <cfRule type="cellIs" priority="9" operator="equal" dxfId="1">
      <formula>0</formula>
    </cfRule>
  </conditionalFormatting>
  <conditionalFormatting sqref="F4:F10 F12:F18 F20:F25 F27:F30 F32:F35 F37:F40 F42:F45 F47:F50">
    <cfRule type="top10" rank="3" priority="11" dxfId="2"/>
    <cfRule type="cellIs" priority="12" operator="equal" dxfId="3">
      <formula>0</formula>
    </cfRule>
  </conditionalFormatting>
  <conditionalFormatting sqref="I4:I10 I12:I18 I20:I25 I27:I30 I32:I35 I37:I40 I42:I45 I47:I50">
    <cfRule type="cellIs" priority="7" operator="equal" dxfId="1">
      <formula>0</formula>
    </cfRule>
    <cfRule type="cellIs" priority="8" operator="greaterThanOrEqual" dxfId="0">
      <formula>1</formula>
    </cfRule>
  </conditionalFormatting>
  <conditionalFormatting sqref="J4:J10 J12:J18 J20:J25 J27:J30 J32:J35 J37:J40 J42:J45 J47:J50">
    <cfRule type="top10" rank="3" priority="18" dxfId="2"/>
    <cfRule type="cellIs" priority="20" operator="equal" dxfId="3">
      <formula>0</formula>
    </cfRule>
  </conditionalFormatting>
  <conditionalFormatting sqref="K4:K10 K12:K18 K20:K25 K27:K30 K32:K35 K37:K40 K42:K45 K47:K50">
    <cfRule type="top10" rank="3" priority="5" dxfId="4" bottom="1"/>
    <cfRule type="top10" rank="3" priority="6" dxfId="5"/>
  </conditionalFormatting>
  <conditionalFormatting sqref="L4:L10 L12:L18 L20:L25 L27:L30 L32:L35 L37:L40 L42:L45 L47:L50">
    <cfRule type="top10" rank="3" priority="1" dxfId="4" bottom="1"/>
    <cfRule type="top10" rank="3" priority="2" dxfId="5"/>
  </conditionalFormatting>
  <pageMargins left="0.751388888888889" right="0.751388888888889" top="1" bottom="1" header="0.5" footer="0.5"/>
  <pageSetup orientation="portrait" paperSize="9" scale="5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topLeftCell="A7" workbookViewId="0">
      <selection activeCell="H22" sqref="H22"/>
    </sheetView>
  </sheetViews>
  <sheetFormatPr baseColWidth="8" defaultColWidth="9" defaultRowHeight="14.25"/>
  <cols>
    <col width="22.75" customWidth="1" style="32" min="1" max="1"/>
    <col width="10.375" customWidth="1" style="32" min="2" max="2"/>
    <col width="9" customWidth="1" style="32" min="3" max="5"/>
    <col width="18.125" customWidth="1" style="32" min="6" max="6"/>
    <col width="17" customWidth="1" style="32" min="7" max="7"/>
    <col width="12.75" customWidth="1" style="32" min="8" max="8"/>
    <col width="9" customWidth="1" style="32" min="9" max="9"/>
    <col width="11.75" customWidth="1" style="32" min="10" max="10"/>
    <col width="9" customWidth="1" style="32" min="11" max="12"/>
    <col width="19.125" customWidth="1" style="32" min="13" max="13"/>
    <col width="14.375" customWidth="1" style="32" min="14" max="14"/>
    <col width="8.875" customWidth="1" style="32" min="15" max="15"/>
    <col width="10.375" customWidth="1" style="32" min="16" max="16"/>
  </cols>
  <sheetData>
    <row r="1">
      <c r="A1" s="7" t="n">
        <v>46313</v>
      </c>
      <c r="E1" s="13" t="inlineStr">
        <is>
          <t>上周日</t>
        </is>
      </c>
      <c r="G1" s="7" t="n">
        <v>46317</v>
      </c>
      <c r="K1" s="13" t="inlineStr">
        <is>
          <t>昨天</t>
        </is>
      </c>
      <c r="M1" s="7" t="n">
        <v>46320</v>
      </c>
    </row>
    <row r="2">
      <c r="A2" s="8" t="inlineStr">
        <is>
          <t>类型</t>
        </is>
      </c>
      <c r="B2" s="9" t="inlineStr">
        <is>
          <t>开户数据统计</t>
        </is>
      </c>
      <c r="C2" s="33" t="n"/>
      <c r="D2" s="34" t="n"/>
      <c r="G2" s="8" t="inlineStr">
        <is>
          <t>类型</t>
        </is>
      </c>
      <c r="H2" s="9" t="inlineStr">
        <is>
          <t>开户数据统计</t>
        </is>
      </c>
      <c r="I2" s="33" t="n"/>
      <c r="J2" s="34" t="n"/>
      <c r="M2" s="8" t="inlineStr">
        <is>
          <t>类型</t>
        </is>
      </c>
      <c r="N2" s="9" t="inlineStr">
        <is>
          <t>开户数据统计</t>
        </is>
      </c>
      <c r="O2" s="33" t="n"/>
      <c r="P2" s="34" t="n"/>
    </row>
    <row r="3">
      <c r="A3" s="35" t="n"/>
      <c r="B3" s="8" t="inlineStr">
        <is>
          <t>累计开户数</t>
        </is>
      </c>
      <c r="C3" s="8" t="inlineStr">
        <is>
          <t>当日新增</t>
        </is>
      </c>
      <c r="D3" s="8" t="inlineStr">
        <is>
          <t>本年新增</t>
        </is>
      </c>
      <c r="G3" s="35" t="n"/>
      <c r="H3" s="8" t="inlineStr">
        <is>
          <t>累计开户数</t>
        </is>
      </c>
      <c r="I3" s="8" t="inlineStr">
        <is>
          <t>当日新增</t>
        </is>
      </c>
      <c r="J3" s="8" t="inlineStr">
        <is>
          <t>本年新增</t>
        </is>
      </c>
      <c r="M3" s="35" t="n"/>
      <c r="N3" s="8" t="inlineStr">
        <is>
          <t>累计开户数</t>
        </is>
      </c>
      <c r="O3" s="8" t="inlineStr">
        <is>
          <t>当日新增</t>
        </is>
      </c>
      <c r="P3" s="8" t="inlineStr">
        <is>
          <t>本年新增</t>
        </is>
      </c>
      <c r="Q3" s="13" t="inlineStr">
        <is>
          <t>当天</t>
        </is>
      </c>
      <c r="R3" s="13" t="inlineStr">
        <is>
          <t>本周</t>
        </is>
      </c>
    </row>
    <row r="4">
      <c r="A4" s="10" t="inlineStr">
        <is>
          <t>太和人民路支行</t>
        </is>
      </c>
      <c r="B4" s="11" t="n"/>
      <c r="C4" s="12" t="n"/>
      <c r="D4" s="12" t="n"/>
      <c r="G4" s="10" t="inlineStr">
        <is>
          <t>太和人民路支行</t>
        </is>
      </c>
      <c r="H4" s="11" t="n"/>
      <c r="I4" s="12" t="n"/>
      <c r="J4" s="12" t="n"/>
      <c r="M4" s="10" t="inlineStr">
        <is>
          <t>太和人民路支行</t>
        </is>
      </c>
      <c r="N4" s="11" t="n"/>
      <c r="O4" s="12" t="n"/>
      <c r="P4" s="12" t="n"/>
      <c r="Q4" s="13">
        <f>P4-J4</f>
        <v/>
      </c>
      <c r="R4" s="13">
        <f>P4-D4</f>
        <v/>
      </c>
    </row>
    <row r="5">
      <c r="A5" s="10" t="inlineStr">
        <is>
          <t>太和华源支行</t>
        </is>
      </c>
      <c r="B5" s="11" t="n"/>
      <c r="C5" s="12" t="n"/>
      <c r="D5" s="12" t="n"/>
      <c r="G5" s="10" t="inlineStr">
        <is>
          <t>太和华源支行</t>
        </is>
      </c>
      <c r="H5" s="11" t="n"/>
      <c r="I5" s="12" t="n"/>
      <c r="J5" s="12" t="n"/>
      <c r="M5" s="10" t="inlineStr">
        <is>
          <t>太和华源支行</t>
        </is>
      </c>
      <c r="N5" s="11" t="n"/>
      <c r="O5" s="12" t="n"/>
      <c r="P5" s="12" t="n"/>
      <c r="Q5" s="13">
        <f>P5-J5</f>
        <v/>
      </c>
      <c r="R5" s="13">
        <f>P5-D5</f>
        <v/>
      </c>
    </row>
    <row r="6">
      <c r="A6" s="10" t="inlineStr">
        <is>
          <t>太和大桥支行</t>
        </is>
      </c>
      <c r="B6" s="11" t="n"/>
      <c r="C6" s="12" t="n"/>
      <c r="D6" s="12" t="n"/>
      <c r="G6" s="10" t="inlineStr">
        <is>
          <t>太和大桥支行</t>
        </is>
      </c>
      <c r="H6" s="11" t="n"/>
      <c r="I6" s="12" t="n"/>
      <c r="J6" s="12" t="n"/>
      <c r="M6" s="10" t="inlineStr">
        <is>
          <t>太和大桥支行</t>
        </is>
      </c>
      <c r="N6" s="11" t="n"/>
      <c r="O6" s="12" t="n"/>
      <c r="P6" s="12" t="n"/>
      <c r="Q6" s="13">
        <f>P6-J6</f>
        <v/>
      </c>
      <c r="R6" s="13">
        <f>P6-D6</f>
        <v/>
      </c>
    </row>
    <row r="7">
      <c r="A7" s="10" t="inlineStr">
        <is>
          <t>太和支行营业室</t>
        </is>
      </c>
      <c r="B7" s="11" t="n"/>
      <c r="C7" s="12" t="n"/>
      <c r="D7" s="11" t="n"/>
      <c r="G7" s="10" t="inlineStr">
        <is>
          <t>太和支行营业室</t>
        </is>
      </c>
      <c r="H7" s="11" t="n"/>
      <c r="I7" s="12" t="n"/>
      <c r="J7" s="11" t="n"/>
      <c r="M7" s="10" t="inlineStr">
        <is>
          <t>太和支行营业室</t>
        </is>
      </c>
      <c r="N7" s="11" t="n"/>
      <c r="O7" s="12" t="n"/>
      <c r="P7" s="11" t="n"/>
      <c r="Q7" s="13">
        <f>P7-J7</f>
        <v/>
      </c>
      <c r="R7" s="13">
        <f>P7-D7</f>
        <v/>
      </c>
    </row>
    <row r="8">
      <c r="A8" s="10" t="inlineStr">
        <is>
          <t>阜阳南站支行</t>
        </is>
      </c>
      <c r="B8" s="11" t="n"/>
      <c r="C8" s="12" t="n"/>
      <c r="D8" s="12" t="n"/>
      <c r="G8" s="10" t="inlineStr">
        <is>
          <t>阜阳南站支行</t>
        </is>
      </c>
      <c r="H8" s="11" t="n"/>
      <c r="I8" s="12" t="n"/>
      <c r="J8" s="12" t="n"/>
      <c r="M8" s="10" t="inlineStr">
        <is>
          <t>阜阳南站支行</t>
        </is>
      </c>
      <c r="N8" s="11" t="n"/>
      <c r="O8" s="12" t="n"/>
      <c r="P8" s="12" t="n"/>
      <c r="Q8" s="13">
        <f>P8-J8</f>
        <v/>
      </c>
      <c r="R8" s="13">
        <f>P8-D8</f>
        <v/>
      </c>
    </row>
    <row r="9">
      <c r="A9" s="10" t="inlineStr">
        <is>
          <t>阜阳城建支行</t>
        </is>
      </c>
      <c r="B9" s="11" t="n"/>
      <c r="C9" s="12" t="n"/>
      <c r="D9" s="12" t="n"/>
      <c r="G9" s="10" t="inlineStr">
        <is>
          <t>阜阳城建支行</t>
        </is>
      </c>
      <c r="H9" s="11" t="n"/>
      <c r="I9" s="12" t="n"/>
      <c r="J9" s="12" t="n"/>
      <c r="M9" s="10" t="inlineStr">
        <is>
          <t>阜阳城建支行</t>
        </is>
      </c>
      <c r="N9" s="11" t="n"/>
      <c r="O9" s="12" t="n"/>
      <c r="P9" s="12" t="n"/>
      <c r="Q9" s="13">
        <f>P9-J9</f>
        <v/>
      </c>
      <c r="R9" s="13">
        <f>P9-D9</f>
        <v/>
      </c>
    </row>
    <row r="10">
      <c r="A10" s="10" t="inlineStr">
        <is>
          <t>阜阳师范大学支行</t>
        </is>
      </c>
      <c r="B10" s="12" t="n"/>
      <c r="C10" s="12" t="n"/>
      <c r="D10" s="12" t="n"/>
      <c r="G10" s="10" t="inlineStr">
        <is>
          <t>阜阳师范大学支行</t>
        </is>
      </c>
      <c r="H10" s="12" t="n"/>
      <c r="I10" s="12" t="n"/>
      <c r="J10" s="12" t="n"/>
      <c r="M10" s="10" t="inlineStr">
        <is>
          <t>阜阳师范大学支行</t>
        </is>
      </c>
      <c r="N10" s="12" t="n"/>
      <c r="O10" s="12" t="n"/>
      <c r="P10" s="12" t="n"/>
      <c r="Q10" s="13">
        <f>P10-J10</f>
        <v/>
      </c>
      <c r="R10" s="13">
        <f>P10-D10</f>
        <v/>
      </c>
    </row>
    <row r="11">
      <c r="A11" s="10" t="inlineStr">
        <is>
          <t>阜阳文峰支行</t>
        </is>
      </c>
      <c r="B11" s="11" t="n"/>
      <c r="C11" s="12" t="n"/>
      <c r="D11" s="12" t="n"/>
      <c r="G11" s="10" t="inlineStr">
        <is>
          <t>阜阳文峰支行</t>
        </is>
      </c>
      <c r="H11" s="11" t="n"/>
      <c r="I11" s="12" t="n"/>
      <c r="J11" s="12" t="n"/>
      <c r="M11" s="10" t="inlineStr">
        <is>
          <t>阜阳文峰支行</t>
        </is>
      </c>
      <c r="N11" s="11" t="n"/>
      <c r="O11" s="12" t="n"/>
      <c r="P11" s="12" t="n"/>
      <c r="Q11" s="13">
        <f>P11-J11</f>
        <v/>
      </c>
      <c r="R11" s="13">
        <f>P11-D11</f>
        <v/>
      </c>
    </row>
    <row r="12">
      <c r="A12" s="10" t="inlineStr">
        <is>
          <t>阜阳清河支行</t>
        </is>
      </c>
      <c r="B12" s="12" t="n"/>
      <c r="C12" s="12" t="n"/>
      <c r="D12" s="12" t="n"/>
      <c r="G12" s="10" t="inlineStr">
        <is>
          <t>阜阳清河支行</t>
        </is>
      </c>
      <c r="H12" s="12" t="n"/>
      <c r="I12" s="12" t="n"/>
      <c r="J12" s="12" t="n"/>
      <c r="M12" s="10" t="inlineStr">
        <is>
          <t>阜阳清河支行</t>
        </is>
      </c>
      <c r="N12" s="12" t="n"/>
      <c r="O12" s="12" t="n"/>
      <c r="P12" s="12" t="n"/>
      <c r="Q12" s="13">
        <f>P12-J12</f>
        <v/>
      </c>
      <c r="R12" s="13">
        <f>P12-D12</f>
        <v/>
      </c>
    </row>
    <row r="13">
      <c r="A13" s="10" t="inlineStr">
        <is>
          <t>阜阳金鹰支行</t>
        </is>
      </c>
      <c r="B13" s="12" t="n"/>
      <c r="C13" s="12" t="n"/>
      <c r="D13" s="12" t="n"/>
      <c r="G13" s="10" t="inlineStr">
        <is>
          <t>阜阳金鹰支行</t>
        </is>
      </c>
      <c r="H13" s="12" t="n"/>
      <c r="I13" s="12" t="n"/>
      <c r="J13" s="12" t="n"/>
      <c r="M13" s="10" t="inlineStr">
        <is>
          <t>阜阳金鹰支行</t>
        </is>
      </c>
      <c r="N13" s="12" t="n"/>
      <c r="O13" s="12" t="n"/>
      <c r="P13" s="12" t="n"/>
      <c r="Q13" s="13">
        <f>P13-J13</f>
        <v/>
      </c>
      <c r="R13" s="13">
        <f>P13-D13</f>
        <v/>
      </c>
    </row>
    <row r="14">
      <c r="A14" s="10" t="inlineStr">
        <is>
          <t>阜阳颍州支行营业室</t>
        </is>
      </c>
      <c r="B14" s="11" t="n"/>
      <c r="C14" s="12" t="n"/>
      <c r="D14" s="12" t="n"/>
      <c r="G14" s="10" t="inlineStr">
        <is>
          <t>阜阳颍州支行营业室</t>
        </is>
      </c>
      <c r="H14" s="11" t="n"/>
      <c r="I14" s="12" t="n"/>
      <c r="J14" s="12" t="n"/>
      <c r="M14" s="10" t="inlineStr">
        <is>
          <t>阜阳颍州支行营业室</t>
        </is>
      </c>
      <c r="N14" s="11" t="n"/>
      <c r="O14" s="12" t="n"/>
      <c r="P14" s="12" t="n"/>
      <c r="Q14" s="13">
        <f>P14-J14</f>
        <v/>
      </c>
      <c r="R14" s="13">
        <f>P14-D14</f>
        <v/>
      </c>
    </row>
    <row r="15">
      <c r="A15" s="10" t="inlineStr">
        <is>
          <t>阜阳岳家湖支行</t>
        </is>
      </c>
      <c r="B15" s="12" t="n"/>
      <c r="C15" s="12" t="n"/>
      <c r="D15" s="12" t="n"/>
      <c r="G15" s="10" t="inlineStr">
        <is>
          <t>阜阳岳家湖支行</t>
        </is>
      </c>
      <c r="H15" s="12" t="n"/>
      <c r="I15" s="12" t="n"/>
      <c r="J15" s="12" t="n"/>
      <c r="M15" s="10" t="inlineStr">
        <is>
          <t>阜阳岳家湖支行</t>
        </is>
      </c>
      <c r="N15" s="12" t="n"/>
      <c r="O15" s="12" t="n"/>
      <c r="P15" s="12" t="n"/>
      <c r="Q15" s="13">
        <f>P15-J15</f>
        <v/>
      </c>
      <c r="R15" s="13">
        <f>P15-D15</f>
        <v/>
      </c>
    </row>
    <row r="16">
      <c r="A16" s="10" t="inlineStr">
        <is>
          <t>阜阳汇通支行</t>
        </is>
      </c>
      <c r="B16" s="11" t="n"/>
      <c r="C16" s="12" t="n"/>
      <c r="D16" s="12" t="n"/>
      <c r="G16" s="10" t="inlineStr">
        <is>
          <t>阜阳汇通支行</t>
        </is>
      </c>
      <c r="H16" s="11" t="n"/>
      <c r="I16" s="12" t="n"/>
      <c r="J16" s="12" t="n"/>
      <c r="M16" s="10" t="inlineStr">
        <is>
          <t>阜阳汇通支行</t>
        </is>
      </c>
      <c r="N16" s="11" t="n"/>
      <c r="O16" s="12" t="n"/>
      <c r="P16" s="12" t="n"/>
      <c r="Q16" s="13">
        <f>P16-J16</f>
        <v/>
      </c>
      <c r="R16" s="13">
        <f>P16-D16</f>
        <v/>
      </c>
    </row>
    <row r="17">
      <c r="A17" s="10" t="inlineStr">
        <is>
          <t>阜阳烟厂支行</t>
        </is>
      </c>
      <c r="B17" s="12" t="n"/>
      <c r="C17" s="12" t="n"/>
      <c r="D17" s="12" t="n"/>
      <c r="G17" s="10" t="inlineStr">
        <is>
          <t>阜阳烟厂支行</t>
        </is>
      </c>
      <c r="H17" s="12" t="n"/>
      <c r="I17" s="12" t="n"/>
      <c r="J17" s="12" t="n"/>
      <c r="M17" s="10" t="inlineStr">
        <is>
          <t>阜阳烟厂支行</t>
        </is>
      </c>
      <c r="N17" s="12" t="n"/>
      <c r="O17" s="12" t="n"/>
      <c r="P17" s="12" t="n"/>
      <c r="Q17" s="13">
        <f>P17-J17</f>
        <v/>
      </c>
      <c r="R17" s="13">
        <f>P17-D17</f>
        <v/>
      </c>
    </row>
    <row r="18">
      <c r="A18" s="10" t="inlineStr">
        <is>
          <t>阜阳青年支行</t>
        </is>
      </c>
      <c r="B18" s="12" t="n"/>
      <c r="C18" s="12" t="n"/>
      <c r="D18" s="12" t="n"/>
      <c r="G18" s="10" t="inlineStr">
        <is>
          <t>阜阳青年支行</t>
        </is>
      </c>
      <c r="H18" s="12" t="n"/>
      <c r="I18" s="12" t="n"/>
      <c r="J18" s="12" t="n"/>
      <c r="M18" s="10" t="inlineStr">
        <is>
          <t>阜阳青年支行</t>
        </is>
      </c>
      <c r="N18" s="12" t="n"/>
      <c r="O18" s="12" t="n"/>
      <c r="P18" s="12" t="n"/>
      <c r="Q18" s="13">
        <f>P18-J18</f>
        <v/>
      </c>
      <c r="R18" s="13">
        <f>P18-D18</f>
        <v/>
      </c>
    </row>
    <row r="19">
      <c r="A19" s="10" t="inlineStr">
        <is>
          <t>阜阳颍东支行营业室</t>
        </is>
      </c>
      <c r="B19" s="11" t="n"/>
      <c r="C19" s="12" t="n"/>
      <c r="D19" s="12" t="n"/>
      <c r="G19" s="10" t="inlineStr">
        <is>
          <t>阜阳颍东支行营业室</t>
        </is>
      </c>
      <c r="H19" s="11" t="n"/>
      <c r="I19" s="12" t="n"/>
      <c r="J19" s="12" t="n"/>
      <c r="M19" s="10" t="inlineStr">
        <is>
          <t>阜阳颍东支行营业室</t>
        </is>
      </c>
      <c r="N19" s="11" t="n"/>
      <c r="O19" s="12" t="n"/>
      <c r="P19" s="12" t="n"/>
      <c r="Q19" s="13">
        <f>P19-J19</f>
        <v/>
      </c>
      <c r="R19" s="13">
        <f>P19-D19</f>
        <v/>
      </c>
    </row>
    <row r="20">
      <c r="A20" s="10" t="inlineStr">
        <is>
          <t>阜阳颍河支行</t>
        </is>
      </c>
      <c r="B20" s="11" t="n"/>
      <c r="C20" s="12" t="n"/>
      <c r="D20" s="12" t="n"/>
      <c r="G20" s="10" t="inlineStr">
        <is>
          <t>阜阳颍河支行</t>
        </is>
      </c>
      <c r="H20" s="11" t="n"/>
      <c r="I20" s="12" t="n"/>
      <c r="J20" s="12" t="n"/>
      <c r="M20" s="10" t="inlineStr">
        <is>
          <t>阜阳颍河支行</t>
        </is>
      </c>
      <c r="N20" s="11" t="n"/>
      <c r="O20" s="12" t="n"/>
      <c r="P20" s="12" t="n"/>
      <c r="Q20" s="13">
        <f>P20-J20</f>
        <v/>
      </c>
      <c r="R20" s="13">
        <f>P20-D20</f>
        <v/>
      </c>
    </row>
    <row r="21">
      <c r="A21" s="10" t="inlineStr">
        <is>
          <t>界首城建支行</t>
        </is>
      </c>
      <c r="B21" s="11" t="n"/>
      <c r="C21" s="12" t="n"/>
      <c r="D21" s="12" t="n"/>
      <c r="G21" s="10" t="inlineStr">
        <is>
          <t>界首城建支行</t>
        </is>
      </c>
      <c r="H21" s="11" t="n"/>
      <c r="I21" s="12" t="n"/>
      <c r="J21" s="12" t="n"/>
      <c r="M21" s="10" t="inlineStr">
        <is>
          <t>界首城建支行</t>
        </is>
      </c>
      <c r="N21" s="11" t="n"/>
      <c r="O21" s="12" t="n"/>
      <c r="P21" s="12" t="n"/>
      <c r="Q21" s="13">
        <f>P21-J21</f>
        <v/>
      </c>
      <c r="R21" s="13">
        <f>P21-D21</f>
        <v/>
      </c>
    </row>
    <row r="22">
      <c r="A22" s="10" t="inlineStr">
        <is>
          <t>界首支行营业室</t>
        </is>
      </c>
      <c r="B22" s="11" t="n"/>
      <c r="C22" s="12" t="n"/>
      <c r="D22" s="11" t="n"/>
      <c r="G22" s="10" t="inlineStr">
        <is>
          <t>界首支行营业室</t>
        </is>
      </c>
      <c r="H22" s="11" t="n"/>
      <c r="I22" s="12" t="n"/>
      <c r="J22" s="11" t="n"/>
      <c r="M22" s="10" t="inlineStr">
        <is>
          <t>界首支行营业室</t>
        </is>
      </c>
      <c r="N22" s="11" t="n"/>
      <c r="O22" s="12" t="n"/>
      <c r="P22" s="11" t="n"/>
      <c r="Q22" s="13">
        <f>P22-J22</f>
        <v/>
      </c>
      <c r="R22" s="13">
        <f>P22-D22</f>
        <v/>
      </c>
    </row>
    <row r="23">
      <c r="A23" s="10" t="inlineStr">
        <is>
          <t>界首新街口支行</t>
        </is>
      </c>
      <c r="B23" s="11" t="n"/>
      <c r="C23" s="12" t="n"/>
      <c r="D23" s="12" t="n"/>
      <c r="G23" s="10" t="inlineStr">
        <is>
          <t>界首新街口支行</t>
        </is>
      </c>
      <c r="H23" s="11" t="n"/>
      <c r="I23" s="12" t="n"/>
      <c r="J23" s="12" t="n"/>
      <c r="M23" s="10" t="inlineStr">
        <is>
          <t>界首新街口支行</t>
        </is>
      </c>
      <c r="N23" s="11" t="n"/>
      <c r="O23" s="12" t="n"/>
      <c r="P23" s="12" t="n"/>
      <c r="Q23" s="13">
        <f>P23-J23</f>
        <v/>
      </c>
      <c r="R23" s="13">
        <f>P23-D23</f>
        <v/>
      </c>
    </row>
    <row r="24">
      <c r="A24" s="10" t="inlineStr">
        <is>
          <t>界首科创支行</t>
        </is>
      </c>
      <c r="B24" s="11" t="n"/>
      <c r="C24" s="12" t="n"/>
      <c r="D24" s="12" t="n"/>
      <c r="G24" s="10" t="inlineStr">
        <is>
          <t>界首科创支行</t>
        </is>
      </c>
      <c r="H24" s="11" t="n"/>
      <c r="I24" s="12" t="n"/>
      <c r="J24" s="12" t="n"/>
      <c r="M24" s="10" t="inlineStr">
        <is>
          <t>界首科创支行</t>
        </is>
      </c>
      <c r="N24" s="11" t="n"/>
      <c r="O24" s="12" t="n"/>
      <c r="P24" s="12" t="n"/>
      <c r="Q24" s="13">
        <f>P24-J24</f>
        <v/>
      </c>
      <c r="R24" s="13">
        <f>P24-D24</f>
        <v/>
      </c>
    </row>
    <row r="25">
      <c r="A25" s="10" t="inlineStr">
        <is>
          <t>临泉姜尚支行</t>
        </is>
      </c>
      <c r="B25" s="11" t="n"/>
      <c r="C25" s="12" t="n"/>
      <c r="D25" s="12" t="n"/>
      <c r="G25" s="10" t="inlineStr">
        <is>
          <t>临泉姜尚支行</t>
        </is>
      </c>
      <c r="H25" s="11" t="n"/>
      <c r="I25" s="12" t="n"/>
      <c r="J25" s="12" t="n"/>
      <c r="M25" s="10" t="inlineStr">
        <is>
          <t>临泉姜尚支行</t>
        </is>
      </c>
      <c r="N25" s="11" t="n"/>
      <c r="O25" s="12" t="n"/>
      <c r="P25" s="12" t="n"/>
      <c r="Q25" s="13">
        <f>P25-J25</f>
        <v/>
      </c>
      <c r="R25" s="13">
        <f>P25-D25</f>
        <v/>
      </c>
    </row>
    <row r="26">
      <c r="A26" s="10" t="inlineStr">
        <is>
          <t>临泉支行营业室</t>
        </is>
      </c>
      <c r="B26" s="11" t="n"/>
      <c r="C26" s="12" t="n"/>
      <c r="D26" s="11" t="n"/>
      <c r="G26" s="10" t="inlineStr">
        <is>
          <t>临泉支行营业室</t>
        </is>
      </c>
      <c r="H26" s="11" t="n"/>
      <c r="I26" s="12" t="n"/>
      <c r="J26" s="11" t="n"/>
      <c r="M26" s="10" t="inlineStr">
        <is>
          <t>临泉支行营业室</t>
        </is>
      </c>
      <c r="N26" s="11" t="n"/>
      <c r="O26" s="12" t="n"/>
      <c r="P26" s="11" t="n"/>
      <c r="Q26" s="13">
        <f>P26-J26</f>
        <v/>
      </c>
      <c r="R26" s="13">
        <f>P26-D26</f>
        <v/>
      </c>
    </row>
    <row r="27">
      <c r="A27" s="10" t="inlineStr">
        <is>
          <t>临泉政务新区支行</t>
        </is>
      </c>
      <c r="B27" s="11" t="n"/>
      <c r="C27" s="12" t="n"/>
      <c r="D27" s="12" t="n"/>
      <c r="G27" s="10" t="inlineStr">
        <is>
          <t>临泉政务新区支行</t>
        </is>
      </c>
      <c r="H27" s="11" t="n"/>
      <c r="I27" s="12" t="n"/>
      <c r="J27" s="11" t="n"/>
      <c r="M27" s="10" t="inlineStr">
        <is>
          <t>临泉政务新区支行</t>
        </is>
      </c>
      <c r="N27" s="11" t="n"/>
      <c r="O27" s="12" t="n"/>
      <c r="P27" s="12" t="n"/>
      <c r="Q27" s="13">
        <f>P27-J27</f>
        <v/>
      </c>
      <c r="R27" s="13">
        <f>P27-D27</f>
        <v/>
      </c>
    </row>
    <row r="28">
      <c r="A28" s="10" t="inlineStr">
        <is>
          <t>临泉文明支行</t>
        </is>
      </c>
      <c r="B28" s="11" t="n"/>
      <c r="C28" s="12" t="n"/>
      <c r="D28" s="12" t="n"/>
      <c r="G28" s="10" t="inlineStr">
        <is>
          <t>临泉文明支行</t>
        </is>
      </c>
      <c r="H28" s="11" t="n"/>
      <c r="I28" s="12" t="n"/>
      <c r="J28" s="12" t="n"/>
      <c r="M28" s="10" t="inlineStr">
        <is>
          <t>临泉文明支行</t>
        </is>
      </c>
      <c r="N28" s="11" t="n"/>
      <c r="O28" s="12" t="n"/>
      <c r="P28" s="12" t="n"/>
      <c r="Q28" s="13">
        <f>P28-J28</f>
        <v/>
      </c>
      <c r="R28" s="13">
        <f>P28-D28</f>
        <v/>
      </c>
    </row>
    <row r="29">
      <c r="A29" s="10" t="inlineStr">
        <is>
          <t>颍上北关支行</t>
        </is>
      </c>
      <c r="B29" s="11" t="n"/>
      <c r="C29" s="12" t="n"/>
      <c r="D29" s="12" t="n"/>
      <c r="G29" s="10" t="inlineStr">
        <is>
          <t>颍上北关支行</t>
        </is>
      </c>
      <c r="H29" s="11" t="n"/>
      <c r="I29" s="12" t="n"/>
      <c r="J29" s="12" t="n"/>
      <c r="M29" s="10" t="inlineStr">
        <is>
          <t>颍上北关支行</t>
        </is>
      </c>
      <c r="N29" s="11" t="n"/>
      <c r="O29" s="12" t="n"/>
      <c r="P29" s="12" t="n"/>
      <c r="Q29" s="13">
        <f>P29-J29</f>
        <v/>
      </c>
      <c r="R29" s="13">
        <f>P29-D29</f>
        <v/>
      </c>
    </row>
    <row r="30">
      <c r="A30" s="10" t="inlineStr">
        <is>
          <t>颍上十字街支行</t>
        </is>
      </c>
      <c r="B30" s="12" t="n"/>
      <c r="C30" s="12" t="n"/>
      <c r="D30" s="12" t="n"/>
      <c r="G30" s="10" t="inlineStr">
        <is>
          <t>颍上十字街支行</t>
        </is>
      </c>
      <c r="H30" s="12" t="n"/>
      <c r="I30" s="12" t="n"/>
      <c r="J30" s="12" t="n"/>
      <c r="M30" s="10" t="inlineStr">
        <is>
          <t>颍上十字街支行</t>
        </is>
      </c>
      <c r="N30" s="12" t="n"/>
      <c r="O30" s="12" t="n"/>
      <c r="P30" s="12" t="n"/>
      <c r="Q30" s="13">
        <f>P30-J30</f>
        <v/>
      </c>
      <c r="R30" s="13">
        <f>P30-D30</f>
        <v/>
      </c>
    </row>
    <row r="31">
      <c r="A31" s="10" t="inlineStr">
        <is>
          <t>颍上支行营业室</t>
        </is>
      </c>
      <c r="B31" s="11" t="n"/>
      <c r="C31" s="12" t="n"/>
      <c r="D31" s="12" t="n"/>
      <c r="G31" s="10" t="inlineStr">
        <is>
          <t>颍上支行营业室</t>
        </is>
      </c>
      <c r="H31" s="11" t="n"/>
      <c r="I31" s="12" t="n"/>
      <c r="J31" s="12" t="n"/>
      <c r="M31" s="10" t="inlineStr">
        <is>
          <t>颍上支行营业室</t>
        </is>
      </c>
      <c r="N31" s="11" t="n"/>
      <c r="O31" s="12" t="n"/>
      <c r="P31" s="12" t="n"/>
      <c r="Q31" s="13">
        <f>P31-J31</f>
        <v/>
      </c>
      <c r="R31" s="13">
        <f>P31-D31</f>
        <v/>
      </c>
    </row>
    <row r="32">
      <c r="A32" s="10" t="inlineStr">
        <is>
          <t>颍上管仲支行</t>
        </is>
      </c>
      <c r="B32" s="12" t="n"/>
      <c r="C32" s="12" t="n"/>
      <c r="D32" s="12" t="n"/>
      <c r="G32" s="10" t="inlineStr">
        <is>
          <t>颍上管仲支行</t>
        </is>
      </c>
      <c r="H32" s="12" t="n"/>
      <c r="I32" s="12" t="n"/>
      <c r="J32" s="12" t="n"/>
      <c r="M32" s="10" t="inlineStr">
        <is>
          <t>颍上管仲支行</t>
        </is>
      </c>
      <c r="N32" s="12" t="n"/>
      <c r="O32" s="12" t="n"/>
      <c r="P32" s="12" t="n"/>
      <c r="Q32" s="13">
        <f>P32-J32</f>
        <v/>
      </c>
      <c r="R32" s="13">
        <f>P32-D32</f>
        <v/>
      </c>
    </row>
    <row r="33">
      <c r="A33" s="10" t="inlineStr">
        <is>
          <t>阜阳临沂商城支行</t>
        </is>
      </c>
      <c r="B33" s="12" t="n"/>
      <c r="C33" s="12" t="n"/>
      <c r="D33" s="12" t="n"/>
      <c r="G33" s="10" t="inlineStr">
        <is>
          <t>阜阳临沂商城支行</t>
        </is>
      </c>
      <c r="H33" s="12" t="n"/>
      <c r="I33" s="12" t="n"/>
      <c r="J33" s="12" t="n"/>
      <c r="M33" s="10" t="inlineStr">
        <is>
          <t>阜阳临沂商城支行</t>
        </is>
      </c>
      <c r="N33" s="12" t="n"/>
      <c r="O33" s="12" t="n"/>
      <c r="P33" s="12" t="n"/>
      <c r="Q33" s="13">
        <f>P33-J33</f>
        <v/>
      </c>
      <c r="R33" s="13">
        <f>P33-D33</f>
        <v/>
      </c>
    </row>
    <row r="34">
      <c r="A34" s="10" t="inlineStr">
        <is>
          <t>阜阳人民路支行</t>
        </is>
      </c>
      <c r="B34" s="12" t="n"/>
      <c r="C34" s="12" t="n"/>
      <c r="D34" s="12" t="n"/>
      <c r="G34" s="10" t="inlineStr">
        <is>
          <t>阜阳人民路支行</t>
        </is>
      </c>
      <c r="H34" s="12" t="n"/>
      <c r="I34" s="12" t="n"/>
      <c r="J34" s="12" t="n"/>
      <c r="M34" s="10" t="inlineStr">
        <is>
          <t>阜阳人民路支行</t>
        </is>
      </c>
      <c r="N34" s="12" t="n"/>
      <c r="O34" s="12" t="n"/>
      <c r="P34" s="12" t="n"/>
      <c r="Q34" s="13">
        <f>P34-J34</f>
        <v/>
      </c>
      <c r="R34" s="13">
        <f>P34-D34</f>
        <v/>
      </c>
    </row>
    <row r="35">
      <c r="A35" s="10" t="inlineStr">
        <is>
          <t>阜阳大楼支行</t>
        </is>
      </c>
      <c r="B35" s="12" t="n"/>
      <c r="C35" s="12" t="n"/>
      <c r="D35" s="12" t="n"/>
      <c r="G35" s="10" t="inlineStr">
        <is>
          <t>阜阳大楼支行</t>
        </is>
      </c>
      <c r="H35" s="12" t="n"/>
      <c r="I35" s="12" t="n"/>
      <c r="J35" s="12" t="n"/>
      <c r="M35" s="10" t="inlineStr">
        <is>
          <t>阜阳大楼支行</t>
        </is>
      </c>
      <c r="N35" s="12" t="n"/>
      <c r="O35" s="12" t="n"/>
      <c r="P35" s="12" t="n"/>
      <c r="Q35" s="13">
        <f>P35-J35</f>
        <v/>
      </c>
      <c r="R35" s="13">
        <f>P35-D35</f>
        <v/>
      </c>
    </row>
    <row r="36">
      <c r="A36" s="10" t="inlineStr">
        <is>
          <t>阜阳小隅首支行</t>
        </is>
      </c>
      <c r="B36" s="12" t="n"/>
      <c r="C36" s="12" t="n"/>
      <c r="D36" s="12" t="n"/>
      <c r="G36" s="10" t="inlineStr">
        <is>
          <t>阜阳小隅首支行</t>
        </is>
      </c>
      <c r="H36" s="12" t="n"/>
      <c r="I36" s="12" t="n"/>
      <c r="J36" s="12" t="n"/>
      <c r="M36" s="10" t="inlineStr">
        <is>
          <t>阜阳小隅首支行</t>
        </is>
      </c>
      <c r="N36" s="12" t="n"/>
      <c r="O36" s="12" t="n"/>
      <c r="P36" s="12" t="n"/>
      <c r="Q36" s="13">
        <f>P36-J36</f>
        <v/>
      </c>
      <c r="R36" s="13">
        <f>P36-D36</f>
        <v/>
      </c>
    </row>
    <row r="37">
      <c r="A37" s="10" t="inlineStr">
        <is>
          <t>阜阳牡丹支行</t>
        </is>
      </c>
      <c r="B37" s="12" t="n"/>
      <c r="C37" s="12" t="n"/>
      <c r="D37" s="12" t="n"/>
      <c r="G37" s="10" t="inlineStr">
        <is>
          <t>阜阳牡丹支行</t>
        </is>
      </c>
      <c r="H37" s="12" t="n"/>
      <c r="I37" s="12" t="n"/>
      <c r="J37" s="12" t="n"/>
      <c r="M37" s="10" t="inlineStr">
        <is>
          <t>阜阳牡丹支行</t>
        </is>
      </c>
      <c r="N37" s="12" t="n"/>
      <c r="O37" s="12" t="n"/>
      <c r="P37" s="12" t="n"/>
      <c r="Q37" s="13">
        <f>P37-J37</f>
        <v/>
      </c>
      <c r="R37" s="13">
        <f>P37-D37</f>
        <v/>
      </c>
    </row>
    <row r="38">
      <c r="A38" s="10" t="inlineStr">
        <is>
          <t>阜阳瑶海支行</t>
        </is>
      </c>
      <c r="B38" s="12" t="n"/>
      <c r="C38" s="12" t="n"/>
      <c r="D38" s="12" t="n"/>
      <c r="G38" s="10" t="inlineStr">
        <is>
          <t>阜阳瑶海支行</t>
        </is>
      </c>
      <c r="H38" s="12" t="n"/>
      <c r="I38" s="12" t="n"/>
      <c r="J38" s="12" t="n"/>
      <c r="M38" s="10" t="inlineStr">
        <is>
          <t>阜阳瑶海支行</t>
        </is>
      </c>
      <c r="N38" s="12" t="n"/>
      <c r="O38" s="12" t="n"/>
      <c r="P38" s="12" t="n"/>
      <c r="Q38" s="13">
        <f>P38-J38</f>
        <v/>
      </c>
      <c r="R38" s="13">
        <f>P38-D38</f>
        <v/>
      </c>
    </row>
    <row r="39">
      <c r="A39" s="10" t="inlineStr">
        <is>
          <t>阜阳颍泉支行营业室</t>
        </is>
      </c>
      <c r="B39" s="12" t="n"/>
      <c r="C39" s="12" t="n"/>
      <c r="D39" s="12" t="n"/>
      <c r="G39" s="10" t="inlineStr">
        <is>
          <t>阜阳颍泉支行营业室</t>
        </is>
      </c>
      <c r="H39" s="12" t="n"/>
      <c r="I39" s="12" t="n"/>
      <c r="J39" s="12" t="n"/>
      <c r="M39" s="10" t="inlineStr">
        <is>
          <t>阜阳颍泉支行营业室</t>
        </is>
      </c>
      <c r="N39" s="12" t="n"/>
      <c r="O39" s="12" t="n"/>
      <c r="P39" s="12" t="n"/>
      <c r="Q39" s="13">
        <f>P39-J39</f>
        <v/>
      </c>
      <c r="R39" s="13">
        <f>P39-D39</f>
        <v/>
      </c>
    </row>
    <row r="40">
      <c r="A40" s="10" t="inlineStr">
        <is>
          <t>阜南北城支行</t>
        </is>
      </c>
      <c r="B40" s="11" t="n"/>
      <c r="C40" s="12" t="n"/>
      <c r="D40" s="12" t="n"/>
      <c r="G40" s="10" t="inlineStr">
        <is>
          <t>阜南北城支行</t>
        </is>
      </c>
      <c r="H40" s="11" t="n"/>
      <c r="I40" s="12" t="n"/>
      <c r="J40" s="12" t="n"/>
      <c r="M40" s="10" t="inlineStr">
        <is>
          <t>阜南北城支行</t>
        </is>
      </c>
      <c r="N40" s="11" t="n"/>
      <c r="O40" s="12" t="n"/>
      <c r="P40" s="12" t="n"/>
      <c r="Q40" s="13">
        <f>P40-J40</f>
        <v/>
      </c>
      <c r="R40" s="13">
        <f>P40-D40</f>
        <v/>
      </c>
    </row>
    <row r="41">
      <c r="A41" s="10" t="inlineStr">
        <is>
          <t>阜南支行营业室</t>
        </is>
      </c>
      <c r="B41" s="11" t="n"/>
      <c r="C41" s="12" t="n"/>
      <c r="D41" s="12" t="n"/>
      <c r="G41" s="10" t="inlineStr">
        <is>
          <t>阜南支行营业室</t>
        </is>
      </c>
      <c r="H41" s="11" t="n"/>
      <c r="I41" s="12" t="n"/>
      <c r="J41" s="12" t="n"/>
      <c r="M41" s="10" t="inlineStr">
        <is>
          <t>阜南支行营业室</t>
        </is>
      </c>
      <c r="N41" s="11" t="n"/>
      <c r="O41" s="12" t="n"/>
      <c r="P41" s="12" t="n"/>
      <c r="Q41" s="13">
        <f>P41-J41</f>
        <v/>
      </c>
      <c r="R41" s="13">
        <f>P41-D41</f>
        <v/>
      </c>
    </row>
    <row r="42">
      <c r="A42" s="10" t="inlineStr">
        <is>
          <t>阜南百货大楼支行</t>
        </is>
      </c>
      <c r="B42" s="11" t="n"/>
      <c r="C42" s="12" t="n"/>
      <c r="D42" s="12" t="n"/>
      <c r="G42" s="10" t="inlineStr">
        <is>
          <t>阜南百货大楼支行</t>
        </is>
      </c>
      <c r="H42" s="11" t="n"/>
      <c r="I42" s="12" t="n"/>
      <c r="J42" s="12" t="n"/>
      <c r="M42" s="10" t="inlineStr">
        <is>
          <t>阜南百货大楼支行</t>
        </is>
      </c>
      <c r="N42" s="11" t="n"/>
      <c r="O42" s="12" t="n"/>
      <c r="P42" s="12" t="n"/>
      <c r="Q42" s="13">
        <f>P42-J42</f>
        <v/>
      </c>
      <c r="R42" s="13">
        <f>P42-D42</f>
        <v/>
      </c>
    </row>
    <row r="43">
      <c r="A43" s="10" t="inlineStr">
        <is>
          <t>阜南胜利路支行</t>
        </is>
      </c>
      <c r="B43" s="11" t="n"/>
      <c r="C43" s="12" t="n"/>
      <c r="D43" s="12" t="n"/>
      <c r="G43" s="10" t="inlineStr">
        <is>
          <t>阜南胜利路支行</t>
        </is>
      </c>
      <c r="H43" s="11" t="n"/>
      <c r="I43" s="12" t="n"/>
      <c r="J43" s="12" t="n"/>
      <c r="M43" s="10" t="inlineStr">
        <is>
          <t>阜南胜利路支行</t>
        </is>
      </c>
      <c r="N43" s="11" t="n"/>
      <c r="O43" s="12" t="n"/>
      <c r="P43" s="12" t="n"/>
      <c r="Q43" s="13">
        <f>P43-J43</f>
        <v/>
      </c>
      <c r="R43" s="13">
        <f>P43-D43</f>
        <v/>
      </c>
    </row>
  </sheetData>
  <mergeCells count="9">
    <mergeCell ref="A1:D1"/>
    <mergeCell ref="N2:P2"/>
    <mergeCell ref="M1:P1"/>
    <mergeCell ref="M2:M3"/>
    <mergeCell ref="A2:A3"/>
    <mergeCell ref="G1:J1"/>
    <mergeCell ref="H2:J2"/>
    <mergeCell ref="G2:G3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E9" sqref="E9"/>
    </sheetView>
  </sheetViews>
  <sheetFormatPr baseColWidth="8" defaultColWidth="9" defaultRowHeight="14.25"/>
  <cols>
    <col width="18.75" customWidth="1" style="1" min="1" max="1"/>
    <col width="27.5" customWidth="1" style="1" min="2" max="2"/>
    <col width="33.5" customWidth="1" style="1" min="3" max="3"/>
    <col width="27.5" customWidth="1" style="1" min="4" max="5"/>
    <col width="12.25" customWidth="1" style="32" min="8" max="8"/>
    <col width="11.25" customWidth="1" style="32" min="9" max="9"/>
  </cols>
  <sheetData>
    <row r="1" ht="18" customHeight="1" s="32">
      <c r="A1" s="2" t="inlineStr">
        <is>
          <t>中国工商银行借记卡发卡统计报表</t>
        </is>
      </c>
      <c r="B1" s="2" t="n"/>
      <c r="C1" s="2" t="n"/>
      <c r="D1" s="2" t="n"/>
      <c r="E1" s="2" t="n"/>
    </row>
    <row r="2">
      <c r="A2" s="3" t="inlineStr">
        <is>
          <t>机构：阜阳分行</t>
        </is>
      </c>
      <c r="B2" s="3" t="n"/>
      <c r="C2" s="3" t="n"/>
      <c r="D2" s="3" t="n"/>
      <c r="E2" s="3" t="n"/>
      <c r="G2" s="13" t="inlineStr">
        <is>
          <t>上周日</t>
        </is>
      </c>
    </row>
    <row r="3">
      <c r="A3" s="4" t="inlineStr">
        <is>
          <t>机构</t>
        </is>
      </c>
      <c r="B3" s="4" t="inlineStr">
        <is>
          <t>柜台新增卡数量（本年累计）</t>
        </is>
      </c>
      <c r="C3" s="4" t="inlineStr">
        <is>
          <t>批量开户新增卡（本年累计）</t>
        </is>
      </c>
      <c r="D3" s="4" t="inlineStr">
        <is>
          <t>柜台新增卡数量（本年累计10.22）</t>
        </is>
      </c>
      <c r="E3" s="4" t="inlineStr">
        <is>
          <t>批量开户新增卡（本年累计10.22）</t>
        </is>
      </c>
      <c r="F3" s="13" t="inlineStr">
        <is>
          <t>当天</t>
        </is>
      </c>
      <c r="H3" s="13" t="inlineStr">
        <is>
          <t>柜台新增卡数量（本年累计）</t>
        </is>
      </c>
      <c r="I3" s="13" t="inlineStr">
        <is>
          <t>批量开户新增卡（本年累计）</t>
        </is>
      </c>
      <c r="J3" s="13" t="inlineStr">
        <is>
          <t>本周</t>
        </is>
      </c>
    </row>
    <row r="4">
      <c r="A4" s="5" t="inlineStr">
        <is>
          <t>阜阳烟厂支行</t>
        </is>
      </c>
      <c r="B4" s="6" t="n"/>
      <c r="C4" s="6" t="n"/>
      <c r="D4" s="6" t="n"/>
      <c r="E4" s="6" t="n"/>
      <c r="F4" s="13">
        <f>B4+C4-D4-E4</f>
        <v/>
      </c>
      <c r="H4" s="13" t="n"/>
      <c r="I4" s="13" t="n"/>
      <c r="J4" s="13">
        <f>B4+C4-H4-I4</f>
        <v/>
      </c>
    </row>
    <row r="5">
      <c r="A5" s="5" t="inlineStr">
        <is>
          <t>阜阳青年支行</t>
        </is>
      </c>
      <c r="B5" s="6" t="n"/>
      <c r="C5" s="6" t="n"/>
      <c r="D5" s="6" t="n"/>
      <c r="E5" s="6" t="n"/>
      <c r="F5" s="13">
        <f>B5+C5-D5-E5</f>
        <v/>
      </c>
      <c r="H5" s="13" t="n"/>
      <c r="I5" s="13" t="n"/>
      <c r="J5" s="13">
        <f>B5+C5-H5-I5</f>
        <v/>
      </c>
    </row>
    <row r="6">
      <c r="A6" s="5" t="inlineStr">
        <is>
          <t>阜阳南站支行</t>
        </is>
      </c>
      <c r="B6" s="6" t="n"/>
      <c r="C6" s="6" t="n"/>
      <c r="D6" s="6" t="n"/>
      <c r="E6" s="6" t="n"/>
      <c r="F6" s="13">
        <f>B6+C6-D6-E6</f>
        <v/>
      </c>
      <c r="H6" s="13" t="n"/>
      <c r="I6" s="13" t="n"/>
      <c r="J6" s="13">
        <f>B6+C6-H6-I6</f>
        <v/>
      </c>
    </row>
    <row r="7">
      <c r="A7" s="5" t="inlineStr">
        <is>
          <t>阜阳颍河支行</t>
        </is>
      </c>
      <c r="B7" s="6" t="n"/>
      <c r="C7" s="6" t="n"/>
      <c r="D7" s="6" t="n"/>
      <c r="E7" s="6" t="n"/>
      <c r="F7" s="13">
        <f>B7+C7-D7-E7</f>
        <v/>
      </c>
      <c r="H7" s="13" t="n"/>
      <c r="I7" s="13" t="n"/>
      <c r="J7" s="13">
        <f>B7+C7-H7-I7</f>
        <v/>
      </c>
    </row>
    <row r="8">
      <c r="A8" s="5" t="inlineStr">
        <is>
          <t>阜阳临沂商城支行</t>
        </is>
      </c>
      <c r="B8" s="6" t="n"/>
      <c r="C8" s="6" t="n"/>
      <c r="D8" s="6" t="n"/>
      <c r="E8" s="6" t="n"/>
      <c r="F8" s="13">
        <f>B8+C8-D8-E8</f>
        <v/>
      </c>
      <c r="H8" s="13" t="n"/>
      <c r="I8" s="13" t="n"/>
      <c r="J8" s="13">
        <f>B8+C8-H8-I8</f>
        <v/>
      </c>
    </row>
    <row r="9">
      <c r="A9" s="5" t="inlineStr">
        <is>
          <t>阜阳金鹰支行</t>
        </is>
      </c>
      <c r="B9" s="6" t="n"/>
      <c r="C9" s="6" t="n"/>
      <c r="D9" s="6" t="n"/>
      <c r="E9" s="6" t="n"/>
      <c r="F9" s="13">
        <f>B9+C9-D9-E9</f>
        <v/>
      </c>
      <c r="H9" s="13" t="n"/>
      <c r="I9" s="13" t="n"/>
      <c r="J9" s="13">
        <f>B9+C9-H9-I9</f>
        <v/>
      </c>
    </row>
    <row r="10">
      <c r="A10" s="5" t="inlineStr">
        <is>
          <t>临泉政务新区支行</t>
        </is>
      </c>
      <c r="B10" s="6" t="n"/>
      <c r="C10" s="6" t="n"/>
      <c r="D10" s="6" t="n"/>
      <c r="E10" s="6" t="n"/>
      <c r="F10" s="13">
        <f>B10+C10-D10-E10</f>
        <v/>
      </c>
      <c r="H10" s="13" t="n"/>
      <c r="I10" s="13" t="n"/>
      <c r="J10" s="13">
        <f>B10+C10-H10-I10</f>
        <v/>
      </c>
    </row>
    <row r="11">
      <c r="A11" s="5" t="inlineStr">
        <is>
          <t>阜阳城建支行</t>
        </is>
      </c>
      <c r="B11" s="6" t="n"/>
      <c r="C11" s="6" t="n"/>
      <c r="D11" s="6" t="n"/>
      <c r="E11" s="6" t="n"/>
      <c r="F11" s="13">
        <f>B11+C11-D11-E11</f>
        <v/>
      </c>
      <c r="H11" s="13" t="n"/>
      <c r="I11" s="13" t="n"/>
      <c r="J11" s="13">
        <f>B11+C11-H11-I11</f>
        <v/>
      </c>
    </row>
    <row r="12">
      <c r="A12" s="5" t="inlineStr">
        <is>
          <t>阜阳文峰支行</t>
        </is>
      </c>
      <c r="B12" s="6" t="n"/>
      <c r="C12" s="6" t="n"/>
      <c r="D12" s="6" t="n"/>
      <c r="E12" s="6" t="n"/>
      <c r="F12" s="13">
        <f>B12+C12-D12-E12</f>
        <v/>
      </c>
      <c r="H12" s="13" t="n"/>
      <c r="I12" s="13" t="n"/>
      <c r="J12" s="13">
        <f>B12+C12-H12-I12</f>
        <v/>
      </c>
    </row>
    <row r="13">
      <c r="A13" s="5" t="inlineStr">
        <is>
          <t>阜阳颍州支行营业室</t>
        </is>
      </c>
      <c r="B13" s="6" t="n"/>
      <c r="C13" s="6" t="n"/>
      <c r="D13" s="6" t="n"/>
      <c r="E13" s="6" t="n"/>
      <c r="F13" s="13">
        <f>B13+C13-D13-E13</f>
        <v/>
      </c>
      <c r="H13" s="13" t="n"/>
      <c r="I13" s="13" t="n"/>
      <c r="J13" s="13">
        <f>B13+C13-H13-I13</f>
        <v/>
      </c>
    </row>
    <row r="14">
      <c r="A14" s="5" t="inlineStr">
        <is>
          <t>阜阳颍泉支行营业室</t>
        </is>
      </c>
      <c r="B14" s="6" t="n"/>
      <c r="C14" s="6" t="n"/>
      <c r="D14" s="6" t="n"/>
      <c r="E14" s="6" t="n"/>
      <c r="F14" s="13">
        <f>B14+C14-D14-E14</f>
        <v/>
      </c>
      <c r="H14" s="13" t="n"/>
      <c r="I14" s="13" t="n"/>
      <c r="J14" s="13">
        <f>B14+C14-H14-I14</f>
        <v/>
      </c>
    </row>
    <row r="15">
      <c r="A15" s="5" t="inlineStr">
        <is>
          <t>阜阳瑶海支行</t>
        </is>
      </c>
      <c r="B15" s="6" t="n"/>
      <c r="C15" s="6" t="n"/>
      <c r="D15" s="6" t="n"/>
      <c r="E15" s="6" t="n"/>
      <c r="F15" s="13">
        <f>B15+C15-D15-E15</f>
        <v/>
      </c>
      <c r="H15" s="13" t="n"/>
      <c r="I15" s="13" t="n"/>
      <c r="J15" s="13">
        <f>B15+C15-H15-I15</f>
        <v/>
      </c>
    </row>
    <row r="16">
      <c r="A16" s="5" t="inlineStr">
        <is>
          <t>阜阳颍东支行营业室</t>
        </is>
      </c>
      <c r="B16" s="6" t="n"/>
      <c r="C16" s="6" t="n"/>
      <c r="D16" s="6" t="n"/>
      <c r="E16" s="6" t="n"/>
      <c r="F16" s="13">
        <f>B16+C16-D16-E16</f>
        <v/>
      </c>
      <c r="H16" s="13" t="n"/>
      <c r="I16" s="13" t="n"/>
      <c r="J16" s="13">
        <f>B16+C16-H16-I16</f>
        <v/>
      </c>
    </row>
    <row r="17">
      <c r="A17" s="5" t="inlineStr">
        <is>
          <t>界首支行营业室</t>
        </is>
      </c>
      <c r="B17" s="6" t="n"/>
      <c r="C17" s="6" t="n"/>
      <c r="D17" s="6" t="n"/>
      <c r="E17" s="6" t="n"/>
      <c r="F17" s="13">
        <f>B17+C17-D17-E17</f>
        <v/>
      </c>
      <c r="H17" s="13" t="n"/>
      <c r="I17" s="13" t="n"/>
      <c r="J17" s="13">
        <f>B17+C17-H17-I17</f>
        <v/>
      </c>
    </row>
    <row r="18">
      <c r="A18" s="5" t="inlineStr">
        <is>
          <t>临泉支行营业室</t>
        </is>
      </c>
      <c r="B18" s="6" t="n"/>
      <c r="C18" s="6" t="n"/>
      <c r="D18" s="6" t="n"/>
      <c r="E18" s="6" t="n"/>
      <c r="F18" s="13">
        <f>B18+C18-D18-E18</f>
        <v/>
      </c>
      <c r="H18" s="13" t="n"/>
      <c r="I18" s="13" t="n"/>
      <c r="J18" s="13">
        <f>B18+C18-H18-I18</f>
        <v/>
      </c>
    </row>
    <row r="19">
      <c r="A19" s="5" t="inlineStr">
        <is>
          <t>阜南支行营业室</t>
        </is>
      </c>
      <c r="B19" s="6" t="n"/>
      <c r="C19" s="6" t="n"/>
      <c r="D19" s="6" t="n"/>
      <c r="E19" s="6" t="n"/>
      <c r="F19" s="13">
        <f>B19+C19-D19-E19</f>
        <v/>
      </c>
      <c r="H19" s="13" t="n"/>
      <c r="I19" s="13" t="n"/>
      <c r="J19" s="13">
        <f>B19+C19-H19-I19</f>
        <v/>
      </c>
    </row>
    <row r="20">
      <c r="A20" s="5" t="inlineStr">
        <is>
          <t>颍上支行营业室</t>
        </is>
      </c>
      <c r="B20" s="6" t="n"/>
      <c r="C20" s="6" t="n"/>
      <c r="D20" s="6" t="n"/>
      <c r="E20" s="6" t="n"/>
      <c r="F20" s="13">
        <f>B20+C20-D20-E20</f>
        <v/>
      </c>
      <c r="H20" s="13" t="n"/>
      <c r="I20" s="13" t="n"/>
      <c r="J20" s="13">
        <f>B20+C20-H20-I20</f>
        <v/>
      </c>
    </row>
    <row r="21">
      <c r="A21" s="5" t="inlineStr">
        <is>
          <t>太和支行营业室</t>
        </is>
      </c>
      <c r="B21" s="6" t="n"/>
      <c r="C21" s="6" t="n"/>
      <c r="D21" s="6" t="n"/>
      <c r="E21" s="6" t="n"/>
      <c r="F21" s="13">
        <f>B21+C21-D21-E21</f>
        <v/>
      </c>
      <c r="H21" s="13" t="n"/>
      <c r="I21" s="13" t="n"/>
      <c r="J21" s="13">
        <f>B21+C21-H21-I21</f>
        <v/>
      </c>
    </row>
    <row r="22">
      <c r="A22" s="5" t="inlineStr">
        <is>
          <t>阜阳牡丹支行</t>
        </is>
      </c>
      <c r="B22" s="6" t="n"/>
      <c r="C22" s="6" t="n"/>
      <c r="D22" s="6" t="n"/>
      <c r="E22" s="6" t="n"/>
      <c r="F22" s="13">
        <f>B22+C22-D22-E22</f>
        <v/>
      </c>
      <c r="H22" s="13" t="n"/>
      <c r="I22" s="13" t="n"/>
      <c r="J22" s="13">
        <f>B22+C22-H22-I22</f>
        <v/>
      </c>
    </row>
    <row r="23">
      <c r="A23" s="5" t="inlineStr">
        <is>
          <t>阜阳汇通支行</t>
        </is>
      </c>
      <c r="B23" s="6" t="n"/>
      <c r="C23" s="6" t="n"/>
      <c r="D23" s="6" t="n"/>
      <c r="E23" s="6" t="n"/>
      <c r="F23" s="13">
        <f>B23+C23-D23-E23</f>
        <v/>
      </c>
      <c r="H23" s="13" t="n"/>
      <c r="I23" s="13" t="n"/>
      <c r="J23" s="13">
        <f>B23+C23-H23-I23</f>
        <v/>
      </c>
    </row>
    <row r="24">
      <c r="A24" s="5" t="inlineStr">
        <is>
          <t>安徽阜阳分行运行管理部</t>
        </is>
      </c>
      <c r="B24" s="6" t="n"/>
      <c r="C24" s="6" t="n"/>
      <c r="D24" s="6" t="n"/>
      <c r="E24" s="6" t="n"/>
      <c r="F24" s="13">
        <f>B24+C24-D24-E24</f>
        <v/>
      </c>
      <c r="H24" s="13" t="n"/>
      <c r="I24" s="13" t="n"/>
      <c r="J24" s="13">
        <f>B24+C24-H24-I24</f>
        <v/>
      </c>
    </row>
    <row r="25">
      <c r="A25" s="5" t="inlineStr">
        <is>
          <t>阜阳小隅首支行</t>
        </is>
      </c>
      <c r="B25" s="6" t="n"/>
      <c r="C25" s="6" t="n"/>
      <c r="D25" s="6" t="n"/>
      <c r="E25" s="6" t="n"/>
      <c r="F25" s="13">
        <f>B25+C25-D25-E25</f>
        <v/>
      </c>
      <c r="H25" s="13" t="n"/>
      <c r="I25" s="13" t="n"/>
      <c r="J25" s="13">
        <f>B25+C25-H25-I25</f>
        <v/>
      </c>
    </row>
    <row r="26">
      <c r="A26" s="5" t="inlineStr">
        <is>
          <t>临泉姜尚支行</t>
        </is>
      </c>
      <c r="B26" s="6" t="n"/>
      <c r="C26" s="6" t="n"/>
      <c r="D26" s="6" t="n"/>
      <c r="E26" s="6" t="n"/>
      <c r="F26" s="13">
        <f>B26+C26-D26-E26</f>
        <v/>
      </c>
      <c r="H26" s="13" t="n"/>
      <c r="I26" s="13" t="n"/>
      <c r="J26" s="13">
        <f>B26+C26-H26-I26</f>
        <v/>
      </c>
    </row>
    <row r="27">
      <c r="A27" s="5" t="inlineStr">
        <is>
          <t>阜阳清河支行</t>
        </is>
      </c>
      <c r="B27" s="6" t="n"/>
      <c r="C27" s="6" t="n"/>
      <c r="D27" s="6" t="n"/>
      <c r="E27" s="6" t="n"/>
      <c r="F27" s="13">
        <f>B27+C27-D27-E27</f>
        <v/>
      </c>
      <c r="H27" s="13" t="n"/>
      <c r="I27" s="13" t="n"/>
      <c r="J27" s="13">
        <f>B27+C27-H27-I27</f>
        <v/>
      </c>
    </row>
    <row r="28">
      <c r="A28" s="5" t="inlineStr">
        <is>
          <t>阜阳师范大学支行</t>
        </is>
      </c>
      <c r="B28" s="6" t="n"/>
      <c r="C28" s="6" t="n"/>
      <c r="D28" s="6" t="n"/>
      <c r="E28" s="6" t="n"/>
      <c r="F28" s="13">
        <f>B28+C28-D28-E28</f>
        <v/>
      </c>
      <c r="H28" s="13" t="n"/>
      <c r="I28" s="13" t="n"/>
      <c r="J28" s="13">
        <f>B28+C28-H28-I28</f>
        <v/>
      </c>
    </row>
    <row r="29">
      <c r="A29" s="5" t="inlineStr">
        <is>
          <t>阜阳大楼支行</t>
        </is>
      </c>
      <c r="B29" s="6" t="n"/>
      <c r="C29" s="6" t="n"/>
      <c r="D29" s="6" t="n"/>
      <c r="E29" s="6" t="n"/>
      <c r="F29" s="13">
        <f>B29+C29-D29-E29</f>
        <v/>
      </c>
      <c r="H29" s="13" t="n"/>
      <c r="I29" s="13" t="n"/>
      <c r="J29" s="13">
        <f>B29+C29-H29-I29</f>
        <v/>
      </c>
    </row>
    <row r="30">
      <c r="A30" s="5" t="inlineStr">
        <is>
          <t>阜阳人民路支行</t>
        </is>
      </c>
      <c r="B30" s="6" t="n"/>
      <c r="C30" s="6" t="n"/>
      <c r="D30" s="6" t="n"/>
      <c r="E30" s="6" t="n"/>
      <c r="F30" s="13">
        <f>B30+C30-D30-E30</f>
        <v/>
      </c>
      <c r="H30" s="13" t="n"/>
      <c r="I30" s="13" t="n"/>
      <c r="J30" s="13">
        <f>B30+C30-H30-I30</f>
        <v/>
      </c>
    </row>
    <row r="31">
      <c r="A31" s="5" t="inlineStr">
        <is>
          <t>阜南北城支行</t>
        </is>
      </c>
      <c r="B31" s="6" t="n"/>
      <c r="C31" s="6" t="n"/>
      <c r="D31" s="6" t="n"/>
      <c r="E31" s="6" t="n"/>
      <c r="F31" s="13">
        <f>B31+C31-D31-E31</f>
        <v/>
      </c>
      <c r="H31" s="13" t="n"/>
      <c r="I31" s="13" t="n"/>
      <c r="J31" s="13">
        <f>B31+C31-H31-I31</f>
        <v/>
      </c>
    </row>
    <row r="32">
      <c r="A32" s="5" t="inlineStr">
        <is>
          <t>阜阳岳家湖支行</t>
        </is>
      </c>
      <c r="B32" s="6" t="n"/>
      <c r="C32" s="6" t="n"/>
      <c r="D32" s="6" t="n"/>
      <c r="E32" s="6" t="n"/>
      <c r="F32" s="13">
        <f>B32+C32-D32-E32</f>
        <v/>
      </c>
      <c r="H32" s="13" t="n"/>
      <c r="I32" s="13" t="n"/>
      <c r="J32" s="13">
        <f>B32+C32-H32-I32</f>
        <v/>
      </c>
    </row>
    <row r="33">
      <c r="A33" s="5" t="inlineStr">
        <is>
          <t>太和人民路支行</t>
        </is>
      </c>
      <c r="B33" s="6" t="n"/>
      <c r="C33" s="6" t="n"/>
      <c r="D33" s="6" t="n"/>
      <c r="E33" s="6" t="n"/>
      <c r="F33" s="13">
        <f>B33+C33-D33-E33</f>
        <v/>
      </c>
      <c r="H33" s="13" t="n"/>
      <c r="I33" s="13" t="n"/>
      <c r="J33" s="13">
        <f>B33+C33-H33-I33</f>
        <v/>
      </c>
    </row>
    <row r="34">
      <c r="A34" s="5" t="inlineStr">
        <is>
          <t>太和大桥支行</t>
        </is>
      </c>
      <c r="B34" s="6" t="n"/>
      <c r="C34" s="6" t="n"/>
      <c r="D34" s="6" t="n"/>
      <c r="E34" s="6" t="n"/>
      <c r="F34" s="13">
        <f>B34+C34-D34-E34</f>
        <v/>
      </c>
      <c r="H34" s="13" t="n"/>
      <c r="I34" s="13" t="n"/>
      <c r="J34" s="13">
        <f>B34+C34-H34-I34</f>
        <v/>
      </c>
    </row>
    <row r="35">
      <c r="A35" s="5" t="inlineStr">
        <is>
          <t>太和华源支行</t>
        </is>
      </c>
      <c r="B35" s="6" t="n"/>
      <c r="C35" s="6" t="n"/>
      <c r="D35" s="6" t="n"/>
      <c r="E35" s="6" t="n"/>
      <c r="F35" s="13">
        <f>B35+C35-D35-E35</f>
        <v/>
      </c>
      <c r="H35" s="13" t="n"/>
      <c r="I35" s="13" t="n"/>
      <c r="J35" s="13">
        <f>B35+C35-H35-I35</f>
        <v/>
      </c>
    </row>
    <row r="36">
      <c r="A36" s="5" t="inlineStr">
        <is>
          <t>颍上北关支行</t>
        </is>
      </c>
      <c r="B36" s="6" t="n"/>
      <c r="C36" s="6" t="n"/>
      <c r="D36" s="6" t="n"/>
      <c r="E36" s="6" t="n"/>
      <c r="F36" s="13">
        <f>B36+C36-D36-E36</f>
        <v/>
      </c>
      <c r="H36" s="13" t="n"/>
      <c r="I36" s="13" t="n"/>
      <c r="J36" s="13">
        <f>B36+C36-H36-I36</f>
        <v/>
      </c>
    </row>
    <row r="37">
      <c r="A37" s="5" t="inlineStr">
        <is>
          <t>颍上十字街支行</t>
        </is>
      </c>
      <c r="B37" s="6" t="n"/>
      <c r="C37" s="6" t="n"/>
      <c r="D37" s="6" t="n"/>
      <c r="E37" s="6" t="n"/>
      <c r="F37" s="13">
        <f>B37+C37-D37-E37</f>
        <v/>
      </c>
      <c r="H37" s="13" t="n"/>
      <c r="I37" s="13" t="n"/>
      <c r="J37" s="13">
        <f>B37+C37-H37-I37</f>
        <v/>
      </c>
    </row>
    <row r="38">
      <c r="A38" s="5" t="inlineStr">
        <is>
          <t>颍上管仲支行</t>
        </is>
      </c>
      <c r="B38" s="6" t="n"/>
      <c r="C38" s="6" t="n"/>
      <c r="D38" s="6" t="n"/>
      <c r="E38" s="6" t="n"/>
      <c r="F38" s="13">
        <f>B38+C38-D38-E38</f>
        <v/>
      </c>
      <c r="H38" s="13" t="n"/>
      <c r="I38" s="13" t="n"/>
      <c r="J38" s="13">
        <f>B38+C38-H38-I38</f>
        <v/>
      </c>
    </row>
    <row r="39">
      <c r="A39" s="5" t="inlineStr">
        <is>
          <t>界首城建支行</t>
        </is>
      </c>
      <c r="B39" s="6" t="n"/>
      <c r="C39" s="6" t="n"/>
      <c r="D39" s="6" t="n"/>
      <c r="E39" s="6" t="n"/>
      <c r="F39" s="13">
        <f>B39+C39-D39-E39</f>
        <v/>
      </c>
      <c r="H39" s="13" t="n"/>
      <c r="I39" s="13" t="n"/>
      <c r="J39" s="13">
        <f>B39+C39-H39-I39</f>
        <v/>
      </c>
    </row>
    <row r="40">
      <c r="A40" s="5" t="inlineStr">
        <is>
          <t>界首科创支行</t>
        </is>
      </c>
      <c r="B40" s="6" t="n"/>
      <c r="C40" s="6" t="n"/>
      <c r="D40" s="6" t="n"/>
      <c r="E40" s="6" t="n"/>
      <c r="F40" s="13">
        <f>B40+C40-D40-E40</f>
        <v/>
      </c>
      <c r="H40" s="13" t="n"/>
      <c r="I40" s="13" t="n"/>
      <c r="J40" s="13">
        <f>B40+C40-H40-I40</f>
        <v/>
      </c>
    </row>
    <row r="41">
      <c r="A41" s="5" t="inlineStr">
        <is>
          <t>界首新街口支行</t>
        </is>
      </c>
      <c r="B41" s="6" t="n"/>
      <c r="C41" s="6" t="n"/>
      <c r="D41" s="6" t="n"/>
      <c r="E41" s="6" t="n"/>
      <c r="F41" s="13">
        <f>B41+C41-D41-E41</f>
        <v/>
      </c>
      <c r="H41" s="13" t="n"/>
      <c r="I41" s="13" t="n"/>
      <c r="J41" s="13">
        <f>B41+C41-H41-I41</f>
        <v/>
      </c>
    </row>
    <row r="42">
      <c r="A42" s="5" t="inlineStr">
        <is>
          <t>临泉文明支行</t>
        </is>
      </c>
      <c r="B42" s="6" t="n"/>
      <c r="C42" s="6" t="n"/>
      <c r="D42" s="6" t="n"/>
      <c r="E42" s="6" t="n"/>
      <c r="F42" s="13">
        <f>B42+C42-D42-E42</f>
        <v/>
      </c>
      <c r="H42" s="13" t="n"/>
      <c r="I42" s="13" t="n"/>
      <c r="J42" s="13">
        <f>B42+C42-H42-I42</f>
        <v/>
      </c>
    </row>
    <row r="43">
      <c r="A43" s="5" t="inlineStr">
        <is>
          <t>阜南百货大楼支行</t>
        </is>
      </c>
      <c r="B43" s="6" t="n"/>
      <c r="C43" s="6" t="n"/>
      <c r="D43" s="6" t="n"/>
      <c r="E43" s="6" t="n"/>
      <c r="F43" s="13">
        <f>B43+C43-D43-E43</f>
        <v/>
      </c>
      <c r="H43" s="13" t="n"/>
      <c r="I43" s="13" t="n"/>
      <c r="J43" s="13">
        <f>B43+C43-H43-I43</f>
        <v/>
      </c>
    </row>
    <row r="44">
      <c r="A44" s="5" t="inlineStr">
        <is>
          <t>阜南胜利路支行</t>
        </is>
      </c>
      <c r="B44" s="6" t="n"/>
      <c r="C44" s="6" t="n"/>
      <c r="D44" s="6" t="n"/>
      <c r="E44" s="6" t="n"/>
      <c r="F44" s="13">
        <f>B44+C44-D44-E44</f>
        <v/>
      </c>
      <c r="H44" s="13" t="n"/>
      <c r="I44" s="13" t="n"/>
      <c r="J44" s="13">
        <f>B44+C44-H44-I44</f>
        <v/>
      </c>
    </row>
    <row r="45">
      <c r="A45" s="5" t="inlineStr">
        <is>
          <t>合计</t>
        </is>
      </c>
      <c r="B45" s="6" t="n"/>
      <c r="C45" s="6" t="n"/>
      <c r="D45" s="6" t="n"/>
      <c r="E45" s="6" t="n"/>
      <c r="F45" s="13">
        <f>B45+C45-D45-E45</f>
        <v/>
      </c>
      <c r="H45" s="13" t="n"/>
      <c r="I45" s="13" t="n"/>
      <c r="J45" s="13">
        <f>B45+C45-H45-I45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姚洪澄</dc:creator>
  <dcterms:created xmlns:dcterms="http://purl.org/dc/terms/" xmlns:xsi="http://www.w3.org/2001/XMLSchema-instance" xsi:type="dcterms:W3CDTF">2026-06-10T00:25:00Z</dcterms:created>
  <dcterms:modified xmlns:dcterms="http://purl.org/dc/terms/" xmlns:xsi="http://www.w3.org/2001/XMLSchema-instance" xsi:type="dcterms:W3CDTF">2026-10-27T10:09:39Z</dcterms:modified>
  <cp:lastModifiedBy>崔宇彤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7039A553E724B69277DDC86ABC3CE1FB</vt:lpwstr>
  </property>
  <property name="KSOProductBuildVer" fmtid="{D5CDD505-2E9C-101B-9397-08002B2CF9AE}" pid="3">
    <vt:lpwstr xmlns:vt="http://schemas.openxmlformats.org/officeDocument/2006/docPropsVTypes">2052-11.8.2.12325</vt:lpwstr>
  </property>
</Properties>
</file>